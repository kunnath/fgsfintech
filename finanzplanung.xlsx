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itionen, Anl. 1" sheetId="1" r:id="rId4"/>
    <sheet state="visible" name="betr. Aufw, Anl.2, monatl." sheetId="2" r:id="rId5"/>
    <sheet state="visible" name="betr. Aufw, Anl.2,quart" sheetId="3" r:id="rId6"/>
    <sheet state="visible" name="priv. Aufwendungen, Anl. 3" sheetId="4" r:id="rId7"/>
    <sheet state="visible" name="Aufw.- Ertr-pl., Anl. 4, monatl" sheetId="5" r:id="rId8"/>
    <sheet state="visible" name="Aufw.- Ertr-pl., Anl. 4, quart" sheetId="6" r:id="rId9"/>
    <sheet state="visible" name="Finanzbedarf netto, Anl. 5" sheetId="7" r:id="rId10"/>
    <sheet state="visible" name="Rentabilitätsvorschau, Anl. 6" sheetId="8" r:id="rId11"/>
    <sheet state="visible" name="Liquiditätsplanung, Anl. 7" sheetId="9" r:id="rId12"/>
    <sheet state="visible" name="Ermittlung der MwSt., Anl. 8" sheetId="10" r:id="rId13"/>
  </sheets>
  <definedNames/>
  <calcPr/>
  <extLst>
    <ext uri="GoogleSheetsCustomDataVersion2">
      <go:sheetsCustomData xmlns:go="http://customooxmlschemas.google.com/" r:id="rId14" roundtripDataChecksum="sBbJWwgWiHlKHcLS9DfgGUCVSLoKfHFXLbQkJQIPuS0="/>
    </ext>
  </extLst>
</workbook>
</file>

<file path=xl/sharedStrings.xml><?xml version="1.0" encoding="utf-8"?>
<sst xmlns="http://schemas.openxmlformats.org/spreadsheetml/2006/main" count="383" uniqueCount="248">
  <si>
    <t>Anlage 1</t>
  </si>
  <si>
    <t>Anlage 3</t>
  </si>
  <si>
    <t>Investitionen (Angaben in Euro, ohne Mwst.)</t>
  </si>
  <si>
    <t>Grundstücke</t>
  </si>
  <si>
    <t>Art</t>
  </si>
  <si>
    <t>Anlage 2</t>
  </si>
  <si>
    <t>Kostenplanung (Angaben in Euro, ohne Mwst.)</t>
  </si>
  <si>
    <t>Ermittlung des Unternehmerlohns (Angaben in Euro)</t>
  </si>
  <si>
    <t>Wert</t>
  </si>
  <si>
    <t>Kostenplanung (Angaben in Euro, ohne Mwst., monatlich)</t>
  </si>
  <si>
    <t>Ausgaben</t>
  </si>
  <si>
    <t>1. Sonstiger betrieblicher Aufwand</t>
  </si>
  <si>
    <t>Summe 1</t>
  </si>
  <si>
    <t>Monat</t>
  </si>
  <si>
    <t>Quartal</t>
  </si>
  <si>
    <t>Lebenshaltung</t>
  </si>
  <si>
    <t>Euro</t>
  </si>
  <si>
    <t>Verpflegung</t>
  </si>
  <si>
    <t>2. Jahr</t>
  </si>
  <si>
    <t xml:space="preserve">1. Jahr </t>
  </si>
  <si>
    <t>Kleidung</t>
  </si>
  <si>
    <t>Telefon/Fax/Internet/Kabel</t>
  </si>
  <si>
    <t>Private Kfz-Nutzung</t>
  </si>
  <si>
    <t>Gebäude / Bauliche Investitionen</t>
  </si>
  <si>
    <t>Sonstige (Friseur, Kosmetik, Kita, GEZ)</t>
  </si>
  <si>
    <t>Anschaffungsgenstand</t>
  </si>
  <si>
    <t>Anschaffungswert</t>
  </si>
  <si>
    <t>diverse Installationen / Umbauten</t>
  </si>
  <si>
    <t>Elektroarbeiten</t>
  </si>
  <si>
    <t>Summe:</t>
  </si>
  <si>
    <t>Renovierung</t>
  </si>
  <si>
    <t>Summe 2</t>
  </si>
  <si>
    <t>Miete / Wohnkosten</t>
  </si>
  <si>
    <t>Betriebs- und Geschäftsausstattungen</t>
  </si>
  <si>
    <t>Warmmiete</t>
  </si>
  <si>
    <t>Laptops, Monitor, Büroausstattung</t>
  </si>
  <si>
    <t>Branding/Logo, Domain, Website</t>
  </si>
  <si>
    <t>Visitenkarten</t>
  </si>
  <si>
    <t>Summe 3</t>
  </si>
  <si>
    <t>Heizung</t>
  </si>
  <si>
    <t>Betriebskosten u./o. WW-Vorauszahlung</t>
  </si>
  <si>
    <t>Strom/Gas</t>
  </si>
  <si>
    <t>Geringwertige Wirtschaftsgüter (unter 800,00 €)</t>
  </si>
  <si>
    <t>Anschaffungsgegenstand</t>
  </si>
  <si>
    <t>Testgeräte, kleines Zubehör</t>
  </si>
  <si>
    <t>Summe 4</t>
  </si>
  <si>
    <t>Krankenversicherung (KV)</t>
  </si>
  <si>
    <t>Gesetzliche KV freiwillig</t>
  </si>
  <si>
    <t>Zusatzversicherung (privat)</t>
  </si>
  <si>
    <t>Private KV (ambulant/stationär/Zahnarzt, etc.)</t>
  </si>
  <si>
    <t>Krankenhaustagegeld/Krankentagegeld (Pflegeversicherung)</t>
  </si>
  <si>
    <t>3. Jahr</t>
  </si>
  <si>
    <t>Altersversorgung</t>
  </si>
  <si>
    <t>Beiträge zur freiwilligen/gesetzlichen Rentenversicherung</t>
  </si>
  <si>
    <t>Zeitraum</t>
  </si>
  <si>
    <t>Beiträge zur privaten Rentenversicherung</t>
  </si>
  <si>
    <t>I. Q.</t>
  </si>
  <si>
    <t>Geringwertige Wirtschaftsgüter (801,00 € - 1.000,00 €)</t>
  </si>
  <si>
    <t>II. Q.</t>
  </si>
  <si>
    <t>III. Q.</t>
  </si>
  <si>
    <t>Homepage</t>
  </si>
  <si>
    <t>IV. Q.</t>
  </si>
  <si>
    <t>Tablet / zusätzliches Gerät</t>
  </si>
  <si>
    <t>Versicherungen</t>
  </si>
  <si>
    <t>Lebensversicherung</t>
  </si>
  <si>
    <t>Büro/Co-Working</t>
  </si>
  <si>
    <t>Rechtsschutzversicherung</t>
  </si>
  <si>
    <t>Hausratversicherung</t>
  </si>
  <si>
    <t>Summe 5</t>
  </si>
  <si>
    <t>Haftpflichtversicherung</t>
  </si>
  <si>
    <t>Strom, Gas</t>
  </si>
  <si>
    <t>i</t>
  </si>
  <si>
    <t>Maschinen / maschinelle Anlagen (über 1.000,00 €)</t>
  </si>
  <si>
    <t>Gesamt Aufwand und Ausgaben</t>
  </si>
  <si>
    <t>Reinigung</t>
  </si>
  <si>
    <t>Sonstige vertragliche Verpflichtungen</t>
  </si>
  <si>
    <t>Büromaterial</t>
  </si>
  <si>
    <t>Bausparvertrag</t>
  </si>
  <si>
    <t>Telefon/Fax/Internet</t>
  </si>
  <si>
    <t>Ratenkredite</t>
  </si>
  <si>
    <t>Porto</t>
  </si>
  <si>
    <t>Hypothekenkredite</t>
  </si>
  <si>
    <t>Server/Cloud/Hosting</t>
  </si>
  <si>
    <t>Marketing/Werbung</t>
  </si>
  <si>
    <t>Kontoführung</t>
  </si>
  <si>
    <t>Rücklagen</t>
  </si>
  <si>
    <t>Betriebliche Versicherungen</t>
  </si>
  <si>
    <t>Urlaub</t>
  </si>
  <si>
    <t>Summe 6</t>
  </si>
  <si>
    <t>Buchhaltung/Steuerberatung</t>
  </si>
  <si>
    <t>Investitionen gesamt / Summe 1 bis 6</t>
  </si>
  <si>
    <t>anteilige gewerbl. KfZ-Kosten</t>
  </si>
  <si>
    <t>Krankheit</t>
  </si>
  <si>
    <t>Weiterbildung/Fachliteratur</t>
  </si>
  <si>
    <t>Anschaffungen</t>
  </si>
  <si>
    <t>Reisekosten</t>
  </si>
  <si>
    <t>Werterhaltung für  Einrichtungen</t>
  </si>
  <si>
    <t>Fahrzeugsteuer</t>
  </si>
  <si>
    <t>Software-Tools/Lizenzen</t>
  </si>
  <si>
    <t>Gesamtsumme der Posten</t>
  </si>
  <si>
    <t>Sonst. betriebl. Aufwand</t>
  </si>
  <si>
    <t>Private Einnahmen (z.B. Kindergeld, Unterhalt)</t>
  </si>
  <si>
    <t>Summe priv. Aufw. (./. priv. Einnahmen)</t>
  </si>
  <si>
    <t xml:space="preserve">Sonst. betriebl. Aufwand  </t>
  </si>
  <si>
    <t>Beiträge/Gebühren</t>
  </si>
  <si>
    <t>2. Sonstige betriebliche Ausgaben</t>
  </si>
  <si>
    <t>anteilige gewerbl. KfZ-Kosten + Steuer etc.</t>
  </si>
  <si>
    <t>Sonst. betriebl. Ausgaben</t>
  </si>
  <si>
    <t>Fachliteratur</t>
  </si>
  <si>
    <t>Leasingrate</t>
  </si>
  <si>
    <t>Gründungskosten (Rechtsform, Anmeldung, Recht/Datenschutz)</t>
  </si>
  <si>
    <t>Mietkaution (Co-Working)</t>
  </si>
  <si>
    <t>Software-Plattform + Marketing/Launch + Liquiditätsreserve</t>
  </si>
  <si>
    <t>expense</t>
  </si>
  <si>
    <t>Anlage 4</t>
  </si>
  <si>
    <t>Aufwands- und Ertragsplanung (Angaben in Euro, ohne Mwst., monatlich)</t>
  </si>
  <si>
    <t xml:space="preserve">Legende:  Geschäftsfeld 1: </t>
  </si>
  <si>
    <t>Software-Plattform (Hauptumsatzquelle)</t>
  </si>
  <si>
    <t>Geschäftsfeld 2:</t>
  </si>
  <si>
    <t>Geschäftsfeld 3:</t>
  </si>
  <si>
    <t>1. Jahr</t>
  </si>
  <si>
    <t>Umsatzerlöse (ohne USt)  GF 1</t>
  </si>
  <si>
    <t>./. Materialverbrauch./Warenentnahme GF 1</t>
  </si>
  <si>
    <t>./. Fremdleistungen (Transp.,Hon. etc.) GF 1</t>
  </si>
  <si>
    <t>Umsatzerlöse (ohne USt)  GF 2</t>
  </si>
  <si>
    <t>./. Materialverbrauch./Warenentnahme GF 2</t>
  </si>
  <si>
    <t>./. Fremdleistungen (Transp.,Hon. etc.) GF 2</t>
  </si>
  <si>
    <t>Umsatzerlöse (ohne USt)  GF 3</t>
  </si>
  <si>
    <t>./. Materialverbrauch./Warenentnahme GF 3</t>
  </si>
  <si>
    <t>./. Fremdleistungen (Transp.,Hon. etc.) GF 3</t>
  </si>
  <si>
    <t>Umsatzerlöse gesamt GF 1, GF 2, GF 3</t>
  </si>
  <si>
    <t>Rohertrag</t>
  </si>
  <si>
    <t xml:space="preserve">./. sonst. betriebl. Aufwand (Anlage 2) </t>
  </si>
  <si>
    <t>./. Personalaufw./soz. Abg. (o. Unternehmerlohn)</t>
  </si>
  <si>
    <t>./. Abschreibungen</t>
  </si>
  <si>
    <t xml:space="preserve"> +  betr. Einnahmen (LKZ)</t>
  </si>
  <si>
    <t xml:space="preserve"> Betriebsergebnis 1</t>
  </si>
  <si>
    <t xml:space="preserve"> +  Gründungszuschuss/Einstiegsgeld</t>
  </si>
  <si>
    <t>./.  Unternehmerlohn (Anl. 3)</t>
  </si>
  <si>
    <t>ausgewiesenes Ergebnis (zur Info)</t>
  </si>
  <si>
    <t>Planungsziel</t>
  </si>
  <si>
    <t>Planungsziel: Jahr 1: 154.500 € Nettoumsatz / ca. 137.580 € Gewinn vor Steuern / ca. 100.000 € Gewinn nach Steuer (Planannahme 27,32 %)</t>
  </si>
  <si>
    <t>Aufwands- und Ertragsplanung (Angaben in Euro, ohne Mwst.)</t>
  </si>
  <si>
    <t>Anlage 5</t>
  </si>
  <si>
    <t>Finanzbedarf (Angaben in Euro, ohne Mwst.)</t>
  </si>
  <si>
    <t>1. Betriebsmittel in der Gründungsphase        (I.Quartal)</t>
  </si>
  <si>
    <t xml:space="preserve">Waren-/Materialentnahme </t>
  </si>
  <si>
    <t>Fremdleistungen (Transporte, Honorare etc.)</t>
  </si>
  <si>
    <t>Personalaufwand + soz. Abgaben</t>
  </si>
  <si>
    <t>Sonstiger betrieblicher Aufwand</t>
  </si>
  <si>
    <t>Sonstige betriebliche Ausgaben</t>
  </si>
  <si>
    <t>Summe 1.</t>
  </si>
  <si>
    <t xml:space="preserve">2. Investitionen </t>
  </si>
  <si>
    <t xml:space="preserve"> +  Überbrückungsgeld/Einstiegsgeld</t>
  </si>
  <si>
    <t>Betriebs- und Geschäftsausstattung</t>
  </si>
  <si>
    <t>Geringwertige Wirtschaftsgüter (unter 250,00 €)</t>
  </si>
  <si>
    <t>Geringwertige Wirtschaftsgüter (251,00 - 1.000,00 €)</t>
  </si>
  <si>
    <t>Umsatzentwicklung</t>
  </si>
  <si>
    <t>Summe 2.</t>
  </si>
  <si>
    <t>Jahr 2: 84.000 € / Jahr 3: 108.000 € Nettoumsatz</t>
  </si>
  <si>
    <t xml:space="preserve">Finanzbedarf/Summe 1. + 2. </t>
  </si>
  <si>
    <t xml:space="preserve">geplante Finanzierung zur Deckung des </t>
  </si>
  <si>
    <t>Finanzbedarfs (netto)</t>
  </si>
  <si>
    <t>Zuschuss JobCenter</t>
  </si>
  <si>
    <t>Darlehen JobCenter</t>
  </si>
  <si>
    <t xml:space="preserve">IBB-Existenzgründerdarlehen </t>
  </si>
  <si>
    <t>KfW-Startgeld</t>
  </si>
  <si>
    <t>andere Kreditinstitute (z.B. Hausbankkredit)</t>
  </si>
  <si>
    <t>andere öffentliche Fördermittel</t>
  </si>
  <si>
    <t>Eigenkapital</t>
  </si>
  <si>
    <t>Privatdarlehen</t>
  </si>
  <si>
    <t>garantierte Zahlungseingänge 1. Quartal</t>
  </si>
  <si>
    <t>Summe</t>
  </si>
  <si>
    <t>Anlage 6</t>
  </si>
  <si>
    <t>Rentabilitätsvorschau (Angaben in Euro, ohne Mwst.)</t>
  </si>
  <si>
    <t>Umsatzerlöse</t>
  </si>
  <si>
    <t>./. Materialverbrauch/Warenentnahme</t>
  </si>
  <si>
    <t>./. Fremdleistungen/Transporte</t>
  </si>
  <si>
    <t xml:space="preserve"> betr. Einnahmen (Provisionen etc.)</t>
  </si>
  <si>
    <t>./. Aufwendungen</t>
  </si>
  <si>
    <t xml:space="preserve">sonst. betriebl. Aufwand (Anlage 2) </t>
  </si>
  <si>
    <t>Löhne / Gehälter / gesetzl. soziale Abgaben</t>
  </si>
  <si>
    <t xml:space="preserve">Bearbeitungsgebühr  4 % (KfW-Darlehen) </t>
  </si>
  <si>
    <t>Ratenzahlung (KfW-Darlehen)</t>
  </si>
  <si>
    <t>Zinsen ca. 9% nur bei KfW-Darlehen (ab 1.Jahr)</t>
  </si>
  <si>
    <t>Bearbeitungsgebühr  2 % (IBB-Darlehen)</t>
  </si>
  <si>
    <t>Zinsen  ca.8,56 % nur (IBB-Darlehen)</t>
  </si>
  <si>
    <t>Ratenzahlung (IBB-Darlehen)</t>
  </si>
  <si>
    <t>Bearbeitungsgebühr     % (andere Kreditinstitute)</t>
  </si>
  <si>
    <t>Ratenzahlung  (andere Kreditinstitute)</t>
  </si>
  <si>
    <t>Zinszahlung  (andere Kreditinstitute)</t>
  </si>
  <si>
    <t>Gewinn vor Steuern</t>
  </si>
  <si>
    <t>./. Abschreibung</t>
  </si>
  <si>
    <t>Zwischensumme</t>
  </si>
  <si>
    <t>Sonderausgaben</t>
  </si>
  <si>
    <t>Freibeträge</t>
  </si>
  <si>
    <t>Aussergewöhnliche Belastungen</t>
  </si>
  <si>
    <t>zu versteuernde Gewinn (*)</t>
  </si>
  <si>
    <t>nichtrückzahlbare Zuschüsse (z.B. Gründerzuschuss)</t>
  </si>
  <si>
    <t>Geschätzte Einkommensteuer (Planannahme)</t>
  </si>
  <si>
    <t>Gewinn nach Steuer (Plan)</t>
  </si>
  <si>
    <t>Ledige</t>
  </si>
  <si>
    <t>Verheiratete</t>
  </si>
  <si>
    <t>zu versteuerndes Einkommen</t>
  </si>
  <si>
    <t>Prozenz</t>
  </si>
  <si>
    <t>Hinweis: Die Steuer ist eine Planannahme von 27,32 %; tatsächliche Einkommensteuer hängt u.a. von Rechtsform, Familienstand, Gewerbesteuer-Anrechnung und persönlichen Freibeträgen ab.</t>
  </si>
  <si>
    <t>Anlage 7</t>
  </si>
  <si>
    <t>Liquiditätsplanung (Angaben in Euro, ohne Mwst.)</t>
  </si>
  <si>
    <t xml:space="preserve">III. Q. </t>
  </si>
  <si>
    <t xml:space="preserve">IV. Q. </t>
  </si>
  <si>
    <t>Betriebsergebnis 1 (Anlage 4)</t>
  </si>
  <si>
    <t>+ Abschreibungen</t>
  </si>
  <si>
    <t>+ Einlagen (Eigenkapital etc.)</t>
  </si>
  <si>
    <t>+ Zuschüsse (öffentl. Förderm.)</t>
  </si>
  <si>
    <t>+ Kreditaufnahme</t>
  </si>
  <si>
    <t>+ Gründungszuschuss/Einstiegsgeld</t>
  </si>
  <si>
    <t>./.Investitionen (siehe Anl. 1)</t>
  </si>
  <si>
    <t>./. Kautionen</t>
  </si>
  <si>
    <t>./. Kredit-Tilgungen KfW (Raten)</t>
  </si>
  <si>
    <t>./. Zins-Zahlungen KfW</t>
  </si>
  <si>
    <t>./. Kredit-Tilgungen IBB (Raten)</t>
  </si>
  <si>
    <t>./. Kredit-Tilgungen (andere  Kreditinstitute)</t>
  </si>
  <si>
    <t>./. Zins-Zahlungen (andere Kreditinstitute)</t>
  </si>
  <si>
    <t>./. Kreditbearbeitungsgebühren (gesamt)</t>
  </si>
  <si>
    <t xml:space="preserve"> Anlage 8</t>
  </si>
  <si>
    <t>Ermittlung der Mehrwertsteuer (Angaben in Euro)</t>
  </si>
  <si>
    <t xml:space="preserve">./. Kontokorrentkosten </t>
  </si>
  <si>
    <t>./. Entnahmen  (Unternehmerlohn etc.)</t>
  </si>
  <si>
    <t>Umsatzerlöse (netto)</t>
  </si>
  <si>
    <t>./. Mehrwertsteuerzahllast</t>
  </si>
  <si>
    <t>Mehrwertsteuer</t>
  </si>
  <si>
    <t>Umsatzerlöse (brutto)</t>
  </si>
  <si>
    <t xml:space="preserve">Liquidität </t>
  </si>
  <si>
    <t xml:space="preserve">sonstige betriebl. Einnahmen (netto) </t>
  </si>
  <si>
    <t>Liquidität kumulativ</t>
  </si>
  <si>
    <t xml:space="preserve">sonstige betrieblichen Einnahmen (brutto) </t>
  </si>
  <si>
    <t>Materialaufwand (netto)</t>
  </si>
  <si>
    <t>Vorsteuer</t>
  </si>
  <si>
    <t>Materialaufwand (brutto)</t>
  </si>
  <si>
    <t>Fremdleistungen (netto)</t>
  </si>
  <si>
    <t>Fremdleistungen (brutto)</t>
  </si>
  <si>
    <t>sonstiger betriebl. Aufwand (netto)</t>
  </si>
  <si>
    <t>sonstiger betrieblicher Aufwand (brutto)</t>
  </si>
  <si>
    <t>Summe der Investitionen (netto)</t>
  </si>
  <si>
    <t>Summe der Investitionen (brutto)</t>
  </si>
  <si>
    <t>Mehrwertsteuer gesamt</t>
  </si>
  <si>
    <t>./.Vorsteuer gesamt</t>
  </si>
  <si>
    <t>Mehrwertsteuerzahllast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</si>
</sst>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#,##0\ [$€-407]"/>
    <numFmt numFmtId="166" formatCode="#,##0&quot;€&quot;"/>
    <numFmt numFmtId="167" formatCode="#,##0_ ;[RED]\-#,##0\ "/>
    <numFmt numFmtId="168" formatCode="_-* #,##0.00\ [$€-1]_-;\-* #,##0.00\ [$€-1]_-;_-* \-??\ [$€-1]"/>
    <numFmt numFmtId="169" formatCode="_-* #,##0.00\ _€_-;\-* #,##0.00\ _€_-;_-* \-??\ _€_-;_-@"/>
  </numFmts>
  <fonts count="29">
    <font>
      <sz val="10.0"/>
      <color rgb="FF000000"/>
      <name val="Arial"/>
      <scheme val="minor"/>
    </font>
    <font>
      <sz val="10.0"/>
      <color theme="1"/>
      <name val="Tahoma"/>
    </font>
    <font>
      <b/>
      <sz val="11.0"/>
      <color theme="1"/>
      <name val="Tahoma"/>
    </font>
    <font>
      <b/>
      <sz val="14.0"/>
      <color theme="1"/>
      <name val="Tahoma"/>
    </font>
    <font>
      <sz val="10.0"/>
      <color rgb="FF000000"/>
      <name val="Arial"/>
    </font>
    <font>
      <b/>
      <u/>
      <sz val="12.0"/>
      <color theme="1"/>
      <name val="Tahoma"/>
    </font>
    <font>
      <b/>
      <sz val="12.0"/>
      <color theme="1"/>
      <name val="Tahoma"/>
    </font>
    <font>
      <sz val="14.0"/>
      <color theme="1"/>
      <name val="Tahoma"/>
    </font>
    <font>
      <sz val="12.0"/>
      <color theme="1"/>
      <name val="Tahoma"/>
    </font>
    <font>
      <sz val="10.0"/>
      <color theme="1"/>
      <name val="Arial"/>
    </font>
    <font>
      <b/>
      <sz val="10.0"/>
      <color theme="1"/>
      <name val="Tahoma"/>
    </font>
    <font>
      <sz val="11.0"/>
      <color theme="1"/>
      <name val="Tahoma"/>
    </font>
    <font/>
    <font>
      <b/>
      <sz val="12.0"/>
      <color theme="1"/>
      <name val="Arial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theme="1"/>
      <name val="Century Gothic"/>
    </font>
    <font>
      <sz val="11.0"/>
      <color theme="1"/>
      <name val="Century Gothic"/>
    </font>
    <font>
      <u/>
      <sz val="11.0"/>
      <color theme="1"/>
      <name val="Tahoma"/>
    </font>
    <font>
      <b/>
      <u/>
      <sz val="11.0"/>
      <color theme="1"/>
      <name val="Tahoma"/>
    </font>
    <font>
      <b/>
      <u/>
      <sz val="11.0"/>
      <color theme="1"/>
      <name val="Tahoma"/>
    </font>
    <font>
      <b/>
      <sz val="14.0"/>
      <color theme="1"/>
      <name val="Century Gothic"/>
    </font>
    <font>
      <b/>
      <sz val="12.0"/>
      <color theme="1"/>
      <name val="Century Gothic"/>
    </font>
    <font>
      <b/>
      <sz val="11.0"/>
      <color theme="1"/>
      <name val="Century Gothic"/>
    </font>
    <font>
      <sz val="12.0"/>
      <color theme="1"/>
      <name val="Arial"/>
    </font>
    <font>
      <b/>
      <u/>
      <sz val="12.0"/>
      <color theme="1"/>
      <name val="Tahoma"/>
    </font>
    <font>
      <sz val="11.0"/>
      <color theme="1"/>
      <name val="Arial"/>
    </font>
    <font>
      <b/>
      <u/>
      <sz val="14.0"/>
      <color theme="1"/>
      <name val="Tahoma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91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9" numFmtId="0" xfId="0" applyAlignment="1" applyFont="1">
      <alignment shrinkToFit="0" vertical="center" wrapText="0"/>
    </xf>
    <xf borderId="1" fillId="0" fontId="10" numFmtId="0" xfId="0" applyAlignment="1" applyBorder="1" applyFont="1">
      <alignment shrinkToFit="0" vertical="center" wrapText="0"/>
    </xf>
    <xf borderId="2" fillId="0" fontId="10" numFmtId="3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center" wrapText="0"/>
    </xf>
    <xf borderId="3" fillId="2" fontId="1" numFmtId="0" xfId="0" applyAlignment="1" applyBorder="1" applyFill="1" applyFont="1">
      <alignment shrinkToFit="0" vertical="center" wrapText="0"/>
    </xf>
    <xf borderId="4" fillId="0" fontId="10" numFmtId="0" xfId="0" applyAlignment="1" applyBorder="1" applyFont="1">
      <alignment horizontal="right" shrinkToFit="0" vertical="center" wrapText="0"/>
    </xf>
    <xf borderId="5" fillId="2" fontId="1" numFmtId="3" xfId="0" applyAlignment="1" applyBorder="1" applyFill="1" applyFont="1" applyNumberFormat="1">
      <alignment horizontal="right" shrinkToFit="0" vertical="center" wrapText="0"/>
    </xf>
    <xf borderId="6" fillId="0" fontId="10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right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8" fillId="0" fontId="10" numFmtId="0" xfId="0" applyAlignment="1" applyBorder="1" applyFont="1">
      <alignment shrinkToFit="0" vertical="center" wrapText="0"/>
    </xf>
    <xf borderId="9" fillId="0" fontId="10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2" fontId="1" numFmtId="0" xfId="0" applyAlignment="1" applyBorder="1" applyFill="1" applyFont="1">
      <alignment shrinkToFit="0" vertical="center" wrapText="0"/>
    </xf>
    <xf borderId="13" fillId="0" fontId="2" numFmtId="0" xfId="0" applyAlignment="1" applyBorder="1" applyFont="1">
      <alignment shrinkToFit="0" vertical="center" wrapText="0"/>
    </xf>
    <xf borderId="14" fillId="2" fontId="1" numFmtId="3" xfId="0" applyAlignment="1" applyBorder="1" applyFill="1" applyFont="1" applyNumberFormat="1">
      <alignment horizontal="right" shrinkToFit="0" vertical="center" wrapText="0"/>
    </xf>
    <xf borderId="15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6" fillId="0" fontId="2" numFmtId="3" xfId="0" applyAlignment="1" applyBorder="1" applyFont="1" applyNumberFormat="1">
      <alignment horizontal="right" shrinkToFit="0" vertical="center" wrapText="0"/>
    </xf>
    <xf borderId="9" fillId="0" fontId="1" numFmtId="3" xfId="0" applyAlignment="1" applyBorder="1" applyFont="1" applyNumberFormat="1">
      <alignment shrinkToFit="0" vertical="center" wrapText="0"/>
    </xf>
    <xf borderId="14" fillId="2" fontId="1" numFmtId="3" xfId="0" applyAlignment="1" applyBorder="1" applyFill="1" applyFont="1" applyNumberFormat="1">
      <alignment shrinkToFit="0" vertical="center" wrapText="0"/>
    </xf>
    <xf borderId="0" fillId="0" fontId="11" numFmtId="3" xfId="0" applyAlignment="1" applyFont="1" applyNumberFormat="1">
      <alignment shrinkToFit="0" vertical="center" wrapText="0"/>
    </xf>
    <xf borderId="17" fillId="0" fontId="10" numFmtId="0" xfId="0" applyAlignment="1" applyBorder="1" applyFont="1">
      <alignment shrinkToFit="0" vertical="center" wrapText="0"/>
    </xf>
    <xf borderId="18" fillId="0" fontId="10" numFmtId="0" xfId="0" applyAlignment="1" applyBorder="1" applyFont="1">
      <alignment horizontal="right" shrinkToFit="0" vertical="center" wrapText="0"/>
    </xf>
    <xf borderId="19" fillId="2" fontId="1" numFmtId="0" xfId="0" applyAlignment="1" applyBorder="1" applyFill="1" applyFont="1">
      <alignment shrinkToFit="0" vertical="center" wrapText="0"/>
    </xf>
    <xf borderId="8" fillId="0" fontId="10" numFmtId="0" xfId="0" applyAlignment="1" applyBorder="1" applyFont="1">
      <alignment horizontal="right" shrinkToFit="0" vertical="center" wrapText="0"/>
    </xf>
    <xf borderId="20" fillId="2" fontId="1" numFmtId="3" xfId="0" applyAlignment="1" applyBorder="1" applyFill="1" applyFont="1" applyNumberFormat="1">
      <alignment horizontal="right" shrinkToFit="0" vertical="center" wrapText="0"/>
    </xf>
    <xf borderId="9" fillId="0" fontId="10" numFmtId="3" xfId="0" applyAlignment="1" applyBorder="1" applyFont="1" applyNumberFormat="1">
      <alignment shrinkToFit="0" vertical="center" wrapText="0"/>
    </xf>
    <xf borderId="21" fillId="2" fontId="1" numFmtId="3" xfId="0" applyAlignment="1" applyBorder="1" applyFill="1" applyFont="1" applyNumberFormat="1">
      <alignment horizontal="right" shrinkToFit="0" vertical="center" wrapText="0"/>
    </xf>
    <xf borderId="22" fillId="2" fontId="1" numFmtId="0" xfId="0" applyAlignment="1" applyBorder="1" applyFill="1" applyFont="1">
      <alignment shrinkToFit="0" vertical="center" wrapText="0"/>
    </xf>
    <xf borderId="23" fillId="2" fontId="1" numFmtId="3" xfId="0" applyAlignment="1" applyBorder="1" applyFill="1" applyFont="1" applyNumberFormat="1">
      <alignment horizontal="right" shrinkToFit="0" vertical="center" wrapText="0"/>
    </xf>
    <xf borderId="24" fillId="2" fontId="1" numFmtId="0" xfId="0" applyAlignment="1" applyBorder="1" applyFill="1" applyFont="1">
      <alignment shrinkToFit="0" vertical="center" wrapText="0"/>
    </xf>
    <xf borderId="25" fillId="2" fontId="1" numFmtId="3" xfId="0" applyAlignment="1" applyBorder="1" applyFill="1" applyFont="1" applyNumberFormat="1">
      <alignment horizontal="right" shrinkToFit="0" vertical="center" wrapText="0"/>
    </xf>
    <xf borderId="26" fillId="0" fontId="2" numFmtId="3" xfId="0" applyAlignment="1" applyBorder="1" applyFont="1" applyNumberFormat="1">
      <alignment horizontal="right" shrinkToFit="0" vertical="center" wrapText="0"/>
    </xf>
    <xf borderId="0" fillId="0" fontId="1" numFmtId="3" xfId="0" applyAlignment="1" applyFont="1" applyNumberFormat="1">
      <alignment shrinkToFit="0" vertical="center" wrapText="0"/>
    </xf>
    <xf borderId="27" fillId="0" fontId="12" numFmtId="0" xfId="0" applyBorder="1" applyFont="1"/>
    <xf borderId="28" fillId="0" fontId="2" numFmtId="0" xfId="0" applyAlignment="1" applyBorder="1" applyFont="1">
      <alignment shrinkToFit="0" vertical="center" wrapText="0"/>
    </xf>
    <xf borderId="2" fillId="0" fontId="12" numFmtId="0" xfId="0" applyBorder="1" applyFont="1"/>
    <xf borderId="29" fillId="0" fontId="2" numFmtId="0" xfId="0" applyAlignment="1" applyBorder="1" applyFont="1">
      <alignment shrinkToFit="0" vertical="center" wrapText="0"/>
    </xf>
    <xf borderId="0" fillId="0" fontId="13" numFmtId="0" xfId="0" applyAlignment="1" applyFont="1">
      <alignment shrinkToFit="0" vertical="bottom" wrapText="0"/>
    </xf>
    <xf borderId="28" fillId="0" fontId="2" numFmtId="165" xfId="0" applyAlignment="1" applyBorder="1" applyFont="1" applyNumberFormat="1">
      <alignment horizontal="right" shrinkToFit="0" vertical="center" wrapText="0"/>
    </xf>
    <xf borderId="30" fillId="0" fontId="2" numFmtId="0" xfId="0" applyAlignment="1" applyBorder="1" applyFont="1">
      <alignment shrinkToFit="0" vertical="center" wrapText="0"/>
    </xf>
    <xf borderId="31" fillId="0" fontId="2" numFmtId="0" xfId="0" applyAlignment="1" applyBorder="1" applyFont="1">
      <alignment horizontal="center" shrinkToFit="0" vertical="center" wrapText="0"/>
    </xf>
    <xf borderId="32" fillId="0" fontId="2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33" fillId="0" fontId="2" numFmtId="0" xfId="0" applyAlignment="1" applyBorder="1" applyFont="1">
      <alignment horizontal="center" shrinkToFit="0" vertical="center" wrapText="0"/>
    </xf>
    <xf borderId="34" fillId="0" fontId="2" numFmtId="0" xfId="0" applyAlignment="1" applyBorder="1" applyFont="1">
      <alignment horizontal="center" shrinkToFit="0" vertical="center" wrapText="0"/>
    </xf>
    <xf borderId="35" fillId="0" fontId="2" numFmtId="0" xfId="0" applyAlignment="1" applyBorder="1" applyFont="1">
      <alignment horizontal="center" shrinkToFit="0" vertical="center" wrapText="0"/>
    </xf>
    <xf borderId="28" fillId="0" fontId="2" numFmtId="0" xfId="0" applyAlignment="1" applyBorder="1" applyFont="1">
      <alignment horizontal="center" shrinkToFit="0" vertical="center" wrapText="0"/>
    </xf>
    <xf borderId="36" fillId="2" fontId="1" numFmtId="0" xfId="0" applyAlignment="1" applyBorder="1" applyFill="1" applyFont="1">
      <alignment shrinkToFit="0" vertical="center" wrapText="0"/>
    </xf>
    <xf borderId="22" fillId="2" fontId="1" numFmtId="3" xfId="0" applyAlignment="1" applyBorder="1" applyFill="1" applyFont="1" applyNumberFormat="1">
      <alignment shrinkToFit="0" vertical="center" wrapText="0"/>
    </xf>
    <xf borderId="37" fillId="2" fontId="1" numFmtId="3" xfId="0" applyAlignment="1" applyBorder="1" applyFill="1" applyFont="1" applyNumberFormat="1">
      <alignment shrinkToFit="0" vertical="center" wrapText="0"/>
    </xf>
    <xf borderId="19" fillId="2" fontId="1" numFmtId="3" xfId="0" applyAlignment="1" applyBorder="1" applyFill="1" applyFont="1" applyNumberFormat="1">
      <alignment shrinkToFit="0" vertical="center" wrapText="0"/>
    </xf>
    <xf borderId="38" fillId="2" fontId="1" numFmtId="3" xfId="0" applyAlignment="1" applyBorder="1" applyFill="1" applyFont="1" applyNumberFormat="1">
      <alignment horizontal="right" shrinkToFit="0" vertical="center" wrapText="0"/>
    </xf>
    <xf borderId="39" fillId="2" fontId="1" numFmtId="3" xfId="0" applyAlignment="1" applyBorder="1" applyFill="1" applyFont="1" applyNumberFormat="1">
      <alignment shrinkToFit="0" vertical="center" wrapText="0"/>
    </xf>
    <xf borderId="40" fillId="2" fontId="1" numFmtId="3" xfId="0" applyAlignment="1" applyBorder="1" applyFill="1" applyFont="1" applyNumberFormat="1">
      <alignment shrinkToFit="0" vertical="center" wrapText="0"/>
    </xf>
    <xf borderId="20" fillId="2" fontId="1" numFmtId="3" xfId="0" applyAlignment="1" applyBorder="1" applyFill="1" applyFont="1" applyNumberFormat="1">
      <alignment shrinkToFit="0" vertical="center" wrapText="0"/>
    </xf>
    <xf borderId="0" fillId="0" fontId="8" numFmtId="3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bottom" wrapText="0"/>
    </xf>
    <xf borderId="34" fillId="0" fontId="10" numFmtId="0" xfId="0" applyAlignment="1" applyBorder="1" applyFont="1">
      <alignment shrinkToFit="0" vertical="center" wrapText="0"/>
    </xf>
    <xf borderId="0" fillId="0" fontId="14" numFmtId="0" xfId="0" applyAlignment="1" applyFont="1">
      <alignment readingOrder="0" shrinkToFit="0" vertical="bottom" wrapText="0"/>
    </xf>
    <xf borderId="41" fillId="0" fontId="10" numFmtId="0" xfId="0" applyAlignment="1" applyBorder="1" applyFont="1">
      <alignment horizontal="right" shrinkToFit="0" vertical="center" wrapText="0"/>
    </xf>
    <xf borderId="42" fillId="0" fontId="10" numFmtId="3" xfId="0" applyAlignment="1" applyBorder="1" applyFont="1" applyNumberFormat="1">
      <alignment shrinkToFit="0" vertical="center" wrapText="0"/>
    </xf>
    <xf borderId="43" fillId="2" fontId="1" numFmtId="0" xfId="0" applyAlignment="1" applyBorder="1" applyFill="1" applyFont="1">
      <alignment shrinkToFit="0" vertical="center" wrapText="0"/>
    </xf>
    <xf borderId="6" fillId="0" fontId="2" numFmtId="0" xfId="0" applyAlignment="1" applyBorder="1" applyFont="1">
      <alignment shrinkToFit="0" vertical="bottom" wrapText="0"/>
    </xf>
    <xf borderId="3" fillId="2" fontId="1" numFmtId="3" xfId="0" applyAlignment="1" applyBorder="1" applyFill="1" applyFont="1" applyNumberFormat="1">
      <alignment shrinkToFit="0" vertical="center" wrapText="0"/>
    </xf>
    <xf borderId="44" fillId="2" fontId="1" numFmtId="3" xfId="0" applyAlignment="1" applyBorder="1" applyFill="1" applyFont="1" applyNumberFormat="1">
      <alignment shrinkToFit="0" vertical="center" wrapText="0"/>
    </xf>
    <xf borderId="6" fillId="0" fontId="2" numFmtId="3" xfId="0" applyAlignment="1" applyBorder="1" applyFont="1" applyNumberFormat="1">
      <alignment shrinkToFit="0" vertical="bottom" wrapText="0"/>
    </xf>
    <xf borderId="5" fillId="2" fontId="1" numFmtId="3" xfId="0" applyAlignment="1" applyBorder="1" applyFill="1" applyFont="1" applyNumberFormat="1">
      <alignment shrinkToFit="0" vertical="center" wrapText="0"/>
    </xf>
    <xf borderId="24" fillId="2" fontId="1" numFmtId="3" xfId="0" applyAlignment="1" applyBorder="1" applyFill="1" applyFont="1" applyNumberFormat="1">
      <alignment shrinkToFit="0" vertical="center" wrapText="0"/>
    </xf>
    <xf borderId="34" fillId="0" fontId="2" numFmtId="0" xfId="0" applyAlignment="1" applyBorder="1" applyFont="1">
      <alignment shrinkToFit="0" vertical="bottom" wrapText="0"/>
    </xf>
    <xf borderId="45" fillId="2" fontId="1" numFmtId="3" xfId="0" applyAlignment="1" applyBorder="1" applyFill="1" applyFont="1" applyNumberFormat="1">
      <alignment shrinkToFit="0" vertical="center" wrapText="0"/>
    </xf>
    <xf borderId="38" fillId="2" fontId="1" numFmtId="3" xfId="0" applyAlignment="1" applyBorder="1" applyFill="1" applyFont="1" applyNumberFormat="1">
      <alignment shrinkToFit="0" vertical="center" wrapText="0"/>
    </xf>
    <xf borderId="46" fillId="0" fontId="2" numFmtId="0" xfId="0" applyAlignment="1" applyBorder="1" applyFont="1">
      <alignment shrinkToFit="0" vertical="center" wrapText="0"/>
    </xf>
    <xf borderId="47" fillId="0" fontId="2" numFmtId="0" xfId="0" applyAlignment="1" applyBorder="1" applyFont="1">
      <alignment shrinkToFit="0" vertical="center" wrapText="0"/>
    </xf>
    <xf borderId="48" fillId="0" fontId="2" numFmtId="3" xfId="0" applyAlignment="1" applyBorder="1" applyFont="1" applyNumberFormat="1">
      <alignment shrinkToFit="0" vertical="center" wrapText="0"/>
    </xf>
    <xf borderId="49" fillId="0" fontId="2" numFmtId="3" xfId="0" applyAlignment="1" applyBorder="1" applyFont="1" applyNumberFormat="1">
      <alignment shrinkToFit="0" vertical="center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9" fillId="0" fontId="1" numFmtId="0" xfId="0" applyAlignment="1" applyBorder="1" applyFont="1">
      <alignment shrinkToFit="0" vertical="center" wrapText="0"/>
    </xf>
    <xf borderId="50" fillId="0" fontId="1" numFmtId="0" xfId="0" applyAlignment="1" applyBorder="1" applyFont="1">
      <alignment shrinkToFit="0" vertical="center" wrapText="0"/>
    </xf>
    <xf borderId="51" fillId="0" fontId="1" numFmtId="0" xfId="0" applyAlignment="1" applyBorder="1" applyFont="1">
      <alignment shrinkToFit="0" vertical="center" wrapText="0"/>
    </xf>
    <xf borderId="52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19" fillId="0" fontId="2" numFmtId="0" xfId="0" applyAlignment="1" applyBorder="1" applyFont="1">
      <alignment shrinkToFit="0" vertical="center" wrapText="0"/>
    </xf>
    <xf borderId="39" fillId="0" fontId="2" numFmtId="0" xfId="0" applyAlignment="1" applyBorder="1" applyFont="1">
      <alignment shrinkToFit="0" vertical="center" wrapText="0"/>
    </xf>
    <xf borderId="20" fillId="0" fontId="2" numFmtId="0" xfId="0" applyAlignment="1" applyBorder="1" applyFont="1">
      <alignment shrinkToFit="0" vertical="center" wrapText="0"/>
    </xf>
    <xf borderId="53" fillId="0" fontId="10" numFmtId="0" xfId="0" applyAlignment="1" applyBorder="1" applyFont="1">
      <alignment shrinkToFit="0" vertical="center" wrapText="0"/>
    </xf>
    <xf borderId="39" fillId="0" fontId="10" numFmtId="0" xfId="0" applyAlignment="1" applyBorder="1" applyFont="1">
      <alignment shrinkToFit="0" vertical="center" wrapText="0"/>
    </xf>
    <xf borderId="20" fillId="0" fontId="10" numFmtId="0" xfId="0" applyAlignment="1" applyBorder="1" applyFont="1">
      <alignment shrinkToFit="0" vertical="center" wrapText="0"/>
    </xf>
    <xf borderId="30" fillId="2" fontId="1" numFmtId="0" xfId="0" applyAlignment="1" applyBorder="1" applyFill="1" applyFont="1">
      <alignment shrinkToFit="0" vertical="center" wrapText="0"/>
    </xf>
    <xf borderId="39" fillId="2" fontId="1" numFmtId="0" xfId="0" applyAlignment="1" applyBorder="1" applyFill="1" applyFont="1">
      <alignment shrinkToFit="0" vertical="center" wrapText="0"/>
    </xf>
    <xf borderId="20" fillId="2" fontId="1" numFmtId="0" xfId="0" applyAlignment="1" applyBorder="1" applyFill="1" applyFont="1">
      <alignment shrinkToFit="0" vertical="center" wrapText="0"/>
    </xf>
    <xf borderId="47" fillId="2" fontId="1" numFmtId="0" xfId="0" applyAlignment="1" applyBorder="1" applyFill="1" applyFont="1">
      <alignment shrinkToFit="0" vertical="center" wrapText="0"/>
    </xf>
    <xf borderId="45" fillId="2" fontId="1" numFmtId="0" xfId="0" applyAlignment="1" applyBorder="1" applyFill="1" applyFont="1">
      <alignment shrinkToFit="0" vertical="center" wrapText="0"/>
    </xf>
    <xf borderId="38" fillId="2" fontId="1" numFmtId="0" xfId="0" applyAlignment="1" applyBorder="1" applyFill="1" applyFont="1">
      <alignment shrinkToFit="0" vertical="center" wrapText="0"/>
    </xf>
    <xf borderId="54" fillId="2" fontId="1" numFmtId="0" xfId="0" applyAlignment="1" applyBorder="1" applyFill="1" applyFont="1">
      <alignment shrinkToFit="0" vertical="center" wrapText="0"/>
    </xf>
    <xf borderId="13" fillId="0" fontId="10" numFmtId="3" xfId="0" applyAlignment="1" applyBorder="1" applyFont="1" applyNumberFormat="1">
      <alignment shrinkToFit="0" vertical="center" wrapText="0"/>
    </xf>
    <xf borderId="15" fillId="0" fontId="10" numFmtId="3" xfId="0" applyAlignment="1" applyBorder="1" applyFont="1" applyNumberFormat="1">
      <alignment shrinkToFit="0" vertical="center" wrapText="0"/>
    </xf>
    <xf borderId="28" fillId="0" fontId="10" numFmtId="3" xfId="0" applyAlignment="1" applyBorder="1" applyFont="1" applyNumberFormat="1">
      <alignment shrinkToFit="0" vertical="center" wrapText="0"/>
    </xf>
    <xf borderId="13" fillId="0" fontId="10" numFmtId="0" xfId="0" applyAlignment="1" applyBorder="1" applyFont="1">
      <alignment shrinkToFit="0" vertical="center" wrapText="0"/>
    </xf>
    <xf borderId="46" fillId="0" fontId="10" numFmtId="3" xfId="0" applyAlignment="1" applyBorder="1" applyFont="1" applyNumberFormat="1">
      <alignment shrinkToFit="0" vertical="center" wrapText="0"/>
    </xf>
    <xf borderId="55" fillId="0" fontId="10" numFmtId="3" xfId="0" applyAlignment="1" applyBorder="1" applyFont="1" applyNumberFormat="1">
      <alignment shrinkToFit="0" vertical="center" wrapText="0"/>
    </xf>
    <xf borderId="0" fillId="0" fontId="16" numFmtId="0" xfId="0" applyAlignment="1" applyFont="1">
      <alignment shrinkToFit="0" vertical="bottom" wrapText="0"/>
    </xf>
    <xf borderId="56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57" fillId="0" fontId="1" numFmtId="0" xfId="0" applyAlignment="1" applyBorder="1" applyFont="1">
      <alignment shrinkToFit="0" vertical="center" wrapText="0"/>
    </xf>
    <xf borderId="58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59" fillId="0" fontId="1" numFmtId="0" xfId="0" applyAlignment="1" applyBorder="1" applyFont="1">
      <alignment shrinkToFit="0" vertical="center" wrapText="0"/>
    </xf>
    <xf borderId="60" fillId="0" fontId="1" numFmtId="0" xfId="0" applyAlignment="1" applyBorder="1" applyFont="1">
      <alignment shrinkToFit="0" vertical="center" wrapText="0"/>
    </xf>
    <xf borderId="61" fillId="0" fontId="2" numFmtId="0" xfId="0" applyAlignment="1" applyBorder="1" applyFont="1">
      <alignment shrinkToFit="0" vertical="center" wrapText="0"/>
    </xf>
    <xf borderId="62" fillId="0" fontId="2" numFmtId="0" xfId="0" applyAlignment="1" applyBorder="1" applyFont="1">
      <alignment shrinkToFit="0" vertical="center" wrapText="0"/>
    </xf>
    <xf borderId="45" fillId="0" fontId="10" numFmtId="0" xfId="0" applyAlignment="1" applyBorder="1" applyFont="1">
      <alignment shrinkToFit="0" vertical="center" wrapText="0"/>
    </xf>
    <xf borderId="38" fillId="0" fontId="10" numFmtId="0" xfId="0" applyAlignment="1" applyBorder="1" applyFont="1">
      <alignment shrinkToFit="0" vertical="center" wrapText="0"/>
    </xf>
    <xf borderId="24" fillId="0" fontId="10" numFmtId="0" xfId="0" applyAlignment="1" applyBorder="1" applyFont="1">
      <alignment shrinkToFit="0" vertical="center" wrapText="0"/>
    </xf>
    <xf borderId="63" fillId="0" fontId="10" numFmtId="0" xfId="0" applyAlignment="1" applyBorder="1" applyFont="1">
      <alignment shrinkToFit="0" vertical="center" wrapText="0"/>
    </xf>
    <xf borderId="64" fillId="0" fontId="10" numFmtId="0" xfId="0" applyAlignment="1" applyBorder="1" applyFont="1">
      <alignment shrinkToFit="0" vertical="center" wrapText="0"/>
    </xf>
    <xf borderId="1" fillId="2" fontId="1" numFmtId="3" xfId="0" applyAlignment="1" applyBorder="1" applyFill="1" applyFont="1" applyNumberFormat="1">
      <alignment shrinkToFit="0" vertical="center" wrapText="0"/>
    </xf>
    <xf borderId="57" fillId="0" fontId="1" numFmtId="3" xfId="0" applyAlignment="1" applyBorder="1" applyFont="1" applyNumberFormat="1">
      <alignment shrinkToFit="0" vertical="center" wrapText="0"/>
    </xf>
    <xf borderId="58" fillId="0" fontId="1" numFmtId="3" xfId="0" applyAlignment="1" applyBorder="1" applyFont="1" applyNumberFormat="1">
      <alignment shrinkToFit="0" vertical="center" wrapText="0"/>
    </xf>
    <xf borderId="27" fillId="0" fontId="1" numFmtId="3" xfId="0" applyAlignment="1" applyBorder="1" applyFont="1" applyNumberFormat="1">
      <alignment shrinkToFit="0" vertical="center" wrapText="0"/>
    </xf>
    <xf borderId="59" fillId="0" fontId="1" numFmtId="3" xfId="0" applyAlignment="1" applyBorder="1" applyFont="1" applyNumberFormat="1">
      <alignment shrinkToFit="0" vertical="center" wrapText="0"/>
    </xf>
    <xf borderId="1" fillId="0" fontId="1" numFmtId="3" xfId="0" applyAlignment="1" applyBorder="1" applyFont="1" applyNumberFormat="1">
      <alignment shrinkToFit="0" vertical="center" wrapText="0"/>
    </xf>
    <xf borderId="65" fillId="0" fontId="1" numFmtId="3" xfId="0" applyAlignment="1" applyBorder="1" applyFont="1" applyNumberFormat="1">
      <alignment shrinkToFit="0" vertical="center" wrapText="0"/>
    </xf>
    <xf borderId="66" fillId="2" fontId="1" numFmtId="0" xfId="0" applyAlignment="1" applyBorder="1" applyFill="1" applyFont="1">
      <alignment shrinkToFit="0" vertical="center" wrapText="0"/>
    </xf>
    <xf borderId="67" fillId="2" fontId="1" numFmtId="0" xfId="0" applyAlignment="1" applyBorder="1" applyFill="1" applyFont="1">
      <alignment shrinkToFit="0" vertical="center" wrapText="0"/>
    </xf>
    <xf borderId="68" fillId="2" fontId="1" numFmtId="0" xfId="0" applyAlignment="1" applyBorder="1" applyFill="1" applyFont="1">
      <alignment shrinkToFit="0" vertical="center" wrapText="0"/>
    </xf>
    <xf borderId="69" fillId="2" fontId="1" numFmtId="0" xfId="0" applyAlignment="1" applyBorder="1" applyFill="1" applyFont="1">
      <alignment shrinkToFit="0" vertical="center" wrapText="0"/>
    </xf>
    <xf borderId="70" fillId="2" fontId="1" numFmtId="0" xfId="0" applyAlignment="1" applyBorder="1" applyFill="1" applyFont="1">
      <alignment shrinkToFit="0" vertical="center" wrapText="0"/>
    </xf>
    <xf borderId="71" fillId="2" fontId="1" numFmtId="0" xfId="0" applyAlignment="1" applyBorder="1" applyFill="1" applyFont="1">
      <alignment shrinkToFit="0" vertical="center" wrapText="0"/>
    </xf>
    <xf borderId="72" fillId="2" fontId="1" numFmtId="0" xfId="0" applyAlignment="1" applyBorder="1" applyFill="1" applyFont="1">
      <alignment shrinkToFit="0" vertical="center" wrapText="0"/>
    </xf>
    <xf borderId="44" fillId="2" fontId="1" numFmtId="0" xfId="0" applyAlignment="1" applyBorder="1" applyFill="1" applyFont="1">
      <alignment shrinkToFit="0" vertical="center" wrapText="0"/>
    </xf>
    <xf borderId="5" fillId="2" fontId="1" numFmtId="0" xfId="0" applyAlignment="1" applyBorder="1" applyFill="1" applyFont="1">
      <alignment shrinkToFit="0" vertical="center" wrapText="0"/>
    </xf>
    <xf borderId="29" fillId="0" fontId="1" numFmtId="3" xfId="0" applyAlignment="1" applyBorder="1" applyFont="1" applyNumberFormat="1">
      <alignment shrinkToFit="0" vertical="center" wrapText="0"/>
    </xf>
    <xf borderId="34" fillId="0" fontId="1" numFmtId="3" xfId="0" applyAlignment="1" applyBorder="1" applyFont="1" applyNumberFormat="1">
      <alignment shrinkToFit="0" vertical="center" wrapText="0"/>
    </xf>
    <xf borderId="29" fillId="0" fontId="10" numFmtId="3" xfId="0" applyAlignment="1" applyBorder="1" applyFont="1" applyNumberFormat="1">
      <alignment shrinkToFit="0" vertical="center" wrapText="0"/>
    </xf>
    <xf borderId="73" fillId="0" fontId="10" numFmtId="3" xfId="0" applyAlignment="1" applyBorder="1" applyFont="1" applyNumberFormat="1">
      <alignment shrinkToFit="0" vertical="center" wrapText="0"/>
    </xf>
    <xf borderId="74" fillId="0" fontId="10" numFmtId="3" xfId="0" applyAlignment="1" applyBorder="1" applyFont="1" applyNumberFormat="1">
      <alignment shrinkToFit="0" vertical="center" wrapText="0"/>
    </xf>
    <xf borderId="0" fillId="0" fontId="14" numFmtId="3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readingOrder="0" shrinkToFit="0" vertical="bottom" wrapText="0"/>
    </xf>
    <xf borderId="0" fillId="0" fontId="11" numFmtId="49" xfId="0" applyAlignment="1" applyFont="1" applyNumberForma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0" xfId="0" applyAlignment="1" applyFont="1">
      <alignment shrinkToFit="0" vertical="bottom" wrapText="0"/>
    </xf>
    <xf borderId="0" fillId="0" fontId="6" numFmtId="49" xfId="0" applyAlignment="1" applyFont="1" applyNumberFormat="1">
      <alignment shrinkToFit="0" vertical="center" wrapText="0"/>
    </xf>
    <xf borderId="0" fillId="0" fontId="18" numFmtId="0" xfId="0" applyAlignment="1" applyFont="1">
      <alignment shrinkToFit="0" vertical="center" wrapText="0"/>
    </xf>
    <xf borderId="0" fillId="0" fontId="19" numFmtId="0" xfId="0" applyAlignment="1" applyFont="1">
      <alignment shrinkToFit="0" vertical="center" wrapText="0"/>
    </xf>
    <xf borderId="0" fillId="0" fontId="20" numFmtId="0" xfId="0" applyAlignment="1" applyFont="1">
      <alignment horizontal="right" shrinkToFit="0" vertical="center" wrapText="1"/>
    </xf>
    <xf borderId="0" fillId="0" fontId="11" numFmtId="0" xfId="0" applyAlignment="1" applyFont="1">
      <alignment horizontal="right" shrinkToFit="0" vertical="center" wrapText="0"/>
    </xf>
    <xf borderId="0" fillId="0" fontId="21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4" fillId="0" fontId="2" numFmtId="49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75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shrinkToFit="0" vertical="center" wrapText="0"/>
    </xf>
    <xf borderId="0" fillId="0" fontId="22" numFmtId="0" xfId="0" applyAlignment="1" applyFont="1">
      <alignment shrinkToFit="0" vertical="bottom" wrapText="0"/>
    </xf>
    <xf borderId="8" fillId="0" fontId="2" numFmtId="49" xfId="0" applyAlignment="1" applyBorder="1" applyFont="1" applyNumberFormat="1">
      <alignment horizontal="left" shrinkToFit="0" vertical="center" wrapText="0"/>
    </xf>
    <xf borderId="0" fillId="0" fontId="22" numFmtId="0" xfId="0" applyAlignment="1" applyFont="1">
      <alignment shrinkToFit="0" vertical="top" wrapText="0"/>
    </xf>
    <xf borderId="8" fillId="0" fontId="10" numFmtId="49" xfId="0" applyAlignment="1" applyBorder="1" applyFont="1" applyNumberFormat="1">
      <alignment shrinkToFit="0" vertical="center" wrapText="0"/>
    </xf>
    <xf borderId="1" fillId="2" fontId="10" numFmtId="167" xfId="0" applyAlignment="1" applyBorder="1" applyFill="1" applyFont="1" applyNumberFormat="1">
      <alignment shrinkToFit="0" vertical="center" wrapText="0"/>
    </xf>
    <xf borderId="57" fillId="2" fontId="10" numFmtId="167" xfId="0" applyAlignment="1" applyBorder="1" applyFill="1" applyFont="1" applyNumberFormat="1">
      <alignment shrinkToFit="0" vertical="center" wrapText="0"/>
    </xf>
    <xf borderId="58" fillId="2" fontId="10" numFmtId="167" xfId="0" applyAlignment="1" applyBorder="1" applyFill="1" applyFont="1" applyNumberFormat="1">
      <alignment shrinkToFit="0" vertical="center" wrapText="0"/>
    </xf>
    <xf borderId="0" fillId="0" fontId="23" numFmtId="0" xfId="0" applyAlignment="1" applyFont="1">
      <alignment shrinkToFit="0" vertical="bottom" wrapText="0"/>
    </xf>
    <xf borderId="36" fillId="3" fontId="1" numFmtId="49" xfId="0" applyAlignment="1" applyBorder="1" applyFill="1" applyFont="1" applyNumberFormat="1">
      <alignment shrinkToFit="0" vertical="center" wrapText="0"/>
    </xf>
    <xf borderId="19" fillId="2" fontId="1" numFmtId="167" xfId="0" applyAlignment="1" applyBorder="1" applyFill="1" applyFont="1" applyNumberFormat="1">
      <alignment shrinkToFit="0" vertical="center" wrapText="0"/>
    </xf>
    <xf borderId="39" fillId="2" fontId="1" numFmtId="167" xfId="0" applyAlignment="1" applyBorder="1" applyFill="1" applyFont="1" applyNumberFormat="1">
      <alignment shrinkToFit="0" vertical="center" wrapText="0"/>
    </xf>
    <xf borderId="20" fillId="2" fontId="1" numFmtId="167" xfId="0" applyAlignment="1" applyBorder="1" applyFill="1" applyFont="1" applyNumberFormat="1">
      <alignment shrinkToFit="0" vertical="center" wrapText="0"/>
    </xf>
    <xf borderId="19" fillId="2" fontId="10" numFmtId="167" xfId="0" applyAlignment="1" applyBorder="1" applyFill="1" applyFont="1" applyNumberFormat="1">
      <alignment shrinkToFit="0" vertical="center" wrapText="0"/>
    </xf>
    <xf borderId="39" fillId="2" fontId="10" numFmtId="167" xfId="0" applyAlignment="1" applyBorder="1" applyFill="1" applyFont="1" applyNumberFormat="1">
      <alignment shrinkToFit="0" vertical="center" wrapText="0"/>
    </xf>
    <xf borderId="20" fillId="2" fontId="10" numFmtId="167" xfId="0" applyAlignment="1" applyBorder="1" applyFill="1" applyFont="1" applyNumberFormat="1">
      <alignment shrinkToFit="0" vertical="center" wrapText="0"/>
    </xf>
    <xf borderId="36" fillId="3" fontId="10" numFmtId="49" xfId="0" applyAlignment="1" applyBorder="1" applyFill="1" applyFont="1" applyNumberFormat="1">
      <alignment shrinkToFit="0" vertical="center" wrapText="0"/>
    </xf>
    <xf borderId="19" fillId="3" fontId="10" numFmtId="167" xfId="0" applyAlignment="1" applyBorder="1" applyFill="1" applyFont="1" applyNumberFormat="1">
      <alignment shrinkToFit="0" vertical="center" wrapText="0"/>
    </xf>
    <xf borderId="39" fillId="3" fontId="10" numFmtId="167" xfId="0" applyAlignment="1" applyBorder="1" applyFill="1" applyFont="1" applyNumberFormat="1">
      <alignment shrinkToFit="0" vertical="center" wrapText="0"/>
    </xf>
    <xf borderId="20" fillId="3" fontId="10" numFmtId="167" xfId="0" applyAlignment="1" applyBorder="1" applyFill="1" applyFont="1" applyNumberFormat="1">
      <alignment shrinkToFit="0" vertical="center" wrapText="0"/>
    </xf>
    <xf borderId="53" fillId="0" fontId="1" numFmtId="49" xfId="0" applyAlignment="1" applyBorder="1" applyFont="1" applyNumberFormat="1">
      <alignment shrinkToFit="0" vertical="center" wrapText="0"/>
    </xf>
    <xf borderId="19" fillId="0" fontId="1" numFmtId="167" xfId="0" applyAlignment="1" applyBorder="1" applyFont="1" applyNumberFormat="1">
      <alignment shrinkToFit="0" vertical="center" wrapText="0"/>
    </xf>
    <xf borderId="39" fillId="0" fontId="1" numFmtId="167" xfId="0" applyAlignment="1" applyBorder="1" applyFont="1" applyNumberFormat="1">
      <alignment shrinkToFit="0" vertical="center" wrapText="0"/>
    </xf>
    <xf borderId="20" fillId="0" fontId="1" numFmtId="167" xfId="0" applyAlignment="1" applyBorder="1" applyFont="1" applyNumberFormat="1">
      <alignment shrinkToFit="0" vertical="center" wrapText="0"/>
    </xf>
    <xf borderId="54" fillId="3" fontId="1" numFmtId="49" xfId="0" applyAlignment="1" applyBorder="1" applyFill="1" applyFont="1" applyNumberFormat="1">
      <alignment shrinkToFit="0" vertical="center" wrapText="0"/>
    </xf>
    <xf borderId="13" fillId="0" fontId="2" numFmtId="49" xfId="0" applyAlignment="1" applyBorder="1" applyFont="1" applyNumberFormat="1">
      <alignment shrinkToFit="0" vertical="center" wrapText="0"/>
    </xf>
    <xf borderId="19" fillId="0" fontId="2" numFmtId="167" xfId="0" applyAlignment="1" applyBorder="1" applyFont="1" applyNumberFormat="1">
      <alignment horizontal="right" shrinkToFit="0" vertical="center" wrapText="0"/>
    </xf>
    <xf borderId="39" fillId="0" fontId="2" numFmtId="167" xfId="0" applyAlignment="1" applyBorder="1" applyFont="1" applyNumberFormat="1">
      <alignment horizontal="right" shrinkToFit="0" vertical="center" wrapText="0"/>
    </xf>
    <xf borderId="20" fillId="0" fontId="2" numFmtId="167" xfId="0" applyAlignment="1" applyBorder="1" applyFont="1" applyNumberFormat="1">
      <alignment horizontal="right"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53" fillId="0" fontId="10" numFmtId="49" xfId="0" applyAlignment="1" applyBorder="1" applyFont="1" applyNumberFormat="1">
      <alignment shrinkToFit="0" vertical="center" wrapText="0"/>
    </xf>
    <xf borderId="19" fillId="0" fontId="10" numFmtId="167" xfId="0" applyAlignment="1" applyBorder="1" applyFont="1" applyNumberFormat="1">
      <alignment shrinkToFit="0" vertical="center" wrapText="0"/>
    </xf>
    <xf borderId="39" fillId="0" fontId="10" numFmtId="167" xfId="0" applyAlignment="1" applyBorder="1" applyFont="1" applyNumberFormat="1">
      <alignment shrinkToFit="0" vertical="center" wrapText="0"/>
    </xf>
    <xf borderId="20" fillId="0" fontId="10" numFmtId="167" xfId="0" applyAlignment="1" applyBorder="1" applyFont="1" applyNumberFormat="1">
      <alignment shrinkToFit="0" vertical="center" wrapText="0"/>
    </xf>
    <xf borderId="0" fillId="0" fontId="23" numFmtId="167" xfId="0" applyAlignment="1" applyFont="1" applyNumberFormat="1">
      <alignment shrinkToFit="0" vertical="bottom" wrapText="0"/>
    </xf>
    <xf borderId="62" fillId="0" fontId="10" numFmtId="49" xfId="0" applyAlignment="1" applyBorder="1" applyFont="1" applyNumberFormat="1">
      <alignment shrinkToFit="0" vertical="center" wrapText="0"/>
    </xf>
    <xf borderId="24" fillId="0" fontId="10" numFmtId="167" xfId="0" applyAlignment="1" applyBorder="1" applyFont="1" applyNumberFormat="1">
      <alignment horizontal="right" shrinkToFit="0" vertical="center" wrapText="0"/>
    </xf>
    <xf borderId="45" fillId="0" fontId="10" numFmtId="167" xfId="0" applyAlignment="1" applyBorder="1" applyFont="1" applyNumberFormat="1">
      <alignment horizontal="right" shrinkToFit="0" vertical="center" wrapText="0"/>
    </xf>
    <xf borderId="38" fillId="0" fontId="10" numFmtId="167" xfId="0" applyAlignment="1" applyBorder="1" applyFont="1" applyNumberFormat="1">
      <alignment horizontal="right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7" numFmtId="49" xfId="0" applyAlignment="1" applyFont="1" applyNumberFormat="1">
      <alignment shrinkToFit="0" vertical="bottom" wrapText="0"/>
    </xf>
    <xf borderId="0" fillId="0" fontId="17" numFmtId="3" xfId="0" applyAlignment="1" applyFont="1" applyNumberFormat="1">
      <alignment shrinkToFit="0" vertical="bottom" wrapText="0"/>
    </xf>
    <xf borderId="6" fillId="0" fontId="2" numFmtId="49" xfId="0" applyAlignment="1" applyBorder="1" applyFont="1" applyNumberFormat="1">
      <alignment shrinkToFit="0" vertical="center" wrapText="0"/>
    </xf>
    <xf borderId="27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9" fillId="0" fontId="2" numFmtId="49" xfId="0" applyAlignment="1" applyBorder="1" applyFont="1" applyNumberFormat="1">
      <alignment horizontal="left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2" fillId="0" fontId="1" numFmtId="3" xfId="0" applyAlignment="1" applyBorder="1" applyFont="1" applyNumberFormat="1">
      <alignment horizontal="right" shrinkToFit="0" vertical="center" wrapText="0"/>
    </xf>
    <xf borderId="76" fillId="0" fontId="1" numFmtId="3" xfId="0" applyAlignment="1" applyBorder="1" applyFont="1" applyNumberFormat="1">
      <alignment horizontal="right" shrinkToFit="0" vertical="center" wrapText="0"/>
    </xf>
    <xf borderId="20" fillId="0" fontId="1" numFmtId="3" xfId="0" applyAlignment="1" applyBorder="1" applyFont="1" applyNumberFormat="1">
      <alignment shrinkToFit="0" vertical="center" wrapText="0"/>
    </xf>
    <xf borderId="77" fillId="0" fontId="1" numFmtId="3" xfId="0" applyAlignment="1" applyBorder="1" applyFont="1" applyNumberFormat="1">
      <alignment horizontal="right" shrinkToFit="0" vertical="center" wrapText="0"/>
    </xf>
    <xf borderId="78" fillId="2" fontId="1" numFmtId="0" xfId="0" applyAlignment="1" applyBorder="1" applyFill="1" applyFont="1">
      <alignment shrinkToFit="0" vertical="center" wrapText="0"/>
    </xf>
    <xf borderId="79" fillId="2" fontId="1" numFmtId="3" xfId="0" applyAlignment="1" applyBorder="1" applyFill="1" applyFont="1" applyNumberFormat="1">
      <alignment horizontal="right" shrinkToFit="0" vertical="center" wrapText="0"/>
    </xf>
    <xf borderId="28" fillId="0" fontId="2" numFmtId="3" xfId="0" applyAlignment="1" applyBorder="1" applyFont="1" applyNumberFormat="1">
      <alignment horizontal="right" shrinkToFit="0" vertical="center" wrapText="0"/>
    </xf>
    <xf borderId="0" fillId="0" fontId="24" numFmtId="0" xfId="0" applyAlignment="1" applyFont="1">
      <alignment shrinkToFit="0" vertical="bottom" wrapText="0"/>
    </xf>
    <xf borderId="80" fillId="0" fontId="11" numFmtId="0" xfId="0" applyAlignment="1" applyBorder="1" applyFont="1">
      <alignment shrinkToFit="0" vertical="center" wrapText="0"/>
    </xf>
    <xf borderId="81" fillId="0" fontId="1" numFmtId="3" xfId="0" applyAlignment="1" applyBorder="1" applyFont="1" applyNumberFormat="1">
      <alignment shrinkToFit="0" vertical="center" wrapText="0"/>
    </xf>
    <xf borderId="82" fillId="0" fontId="1" numFmtId="0" xfId="0" applyAlignment="1" applyBorder="1" applyFont="1">
      <alignment shrinkToFit="0" vertical="center" wrapText="0"/>
    </xf>
    <xf borderId="83" fillId="0" fontId="1" numFmtId="3" xfId="0" applyAlignment="1" applyBorder="1" applyFont="1" applyNumberFormat="1">
      <alignment horizontal="right" shrinkToFit="0" vertical="center" wrapText="0"/>
    </xf>
    <xf borderId="53" fillId="0" fontId="1" numFmtId="167" xfId="0" applyAlignment="1" applyBorder="1" applyFont="1" applyNumberFormat="1">
      <alignment shrinkToFit="0" vertical="center" wrapText="0"/>
    </xf>
    <xf borderId="64" fillId="0" fontId="1" numFmtId="167" xfId="0" applyAlignment="1" applyBorder="1" applyFont="1" applyNumberFormat="1">
      <alignment shrinkToFit="0" vertical="center" wrapText="0"/>
    </xf>
    <xf borderId="84" fillId="0" fontId="1" numFmtId="0" xfId="0" applyAlignment="1" applyBorder="1" applyFont="1">
      <alignment shrinkToFit="0" vertical="center" wrapText="0"/>
    </xf>
    <xf borderId="76" fillId="0" fontId="1" numFmtId="167" xfId="0" applyAlignment="1" applyBorder="1" applyFont="1" applyNumberFormat="1">
      <alignment shrinkToFit="0" vertical="center" wrapText="0"/>
    </xf>
    <xf borderId="85" fillId="0" fontId="1" numFmtId="3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shrinkToFit="0" vertical="top" wrapText="1"/>
    </xf>
    <xf borderId="0" fillId="0" fontId="6" numFmtId="3" xfId="0" applyAlignment="1" applyFont="1" applyNumberFormat="1">
      <alignment horizontal="right" shrinkToFit="0" vertical="top" wrapText="1"/>
    </xf>
    <xf borderId="0" fillId="0" fontId="1" numFmtId="3" xfId="0" applyAlignment="1" applyFont="1" applyNumberFormat="1">
      <alignment shrinkToFit="0" vertical="bottom" wrapText="0"/>
    </xf>
    <xf borderId="24" fillId="0" fontId="10" numFmtId="167" xfId="0" applyAlignment="1" applyBorder="1" applyFont="1" applyNumberFormat="1">
      <alignment horizontal="right" shrinkToFit="0" vertical="center" wrapText="1"/>
    </xf>
    <xf borderId="29" fillId="0" fontId="6" numFmtId="0" xfId="0" applyAlignment="1" applyBorder="1" applyFont="1">
      <alignment shrinkToFit="0" vertical="top" wrapText="1"/>
    </xf>
    <xf borderId="28" fillId="0" fontId="6" numFmtId="3" xfId="0" applyAlignment="1" applyBorder="1" applyFont="1" applyNumberFormat="1">
      <alignment horizontal="right" shrinkToFit="0" vertical="top" wrapText="1"/>
    </xf>
    <xf borderId="0" fillId="0" fontId="11" numFmtId="3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3" xfId="0" applyAlignment="1" applyFont="1" applyNumberFormat="1">
      <alignment horizontal="right" shrinkToFit="0" vertical="bottom" wrapText="0"/>
    </xf>
    <xf borderId="0" fillId="0" fontId="25" numFmtId="0" xfId="0" applyAlignment="1" applyFont="1">
      <alignment shrinkToFit="0" vertical="bottom" wrapText="0"/>
    </xf>
    <xf borderId="0" fillId="0" fontId="8" numFmtId="3" xfId="0" applyAlignment="1" applyFont="1" applyNumberFormat="1">
      <alignment shrinkToFit="0" vertical="bottom" wrapText="0"/>
    </xf>
    <xf borderId="1" fillId="0" fontId="1" numFmtId="0" xfId="0" applyAlignment="1" applyBorder="1" applyFont="1">
      <alignment shrinkToFit="0" vertical="top" wrapText="1"/>
    </xf>
    <xf borderId="58" fillId="2" fontId="1" numFmtId="3" xfId="0" applyAlignment="1" applyBorder="1" applyFill="1" applyFont="1" applyNumberFormat="1">
      <alignment horizontal="right" shrinkToFit="0" vertical="bottom" wrapText="0"/>
    </xf>
    <xf borderId="50" fillId="0" fontId="1" numFmtId="0" xfId="0" applyAlignment="1" applyBorder="1" applyFont="1">
      <alignment shrinkToFit="0" vertical="top" wrapText="1"/>
    </xf>
    <xf borderId="21" fillId="2" fontId="1" numFmtId="3" xfId="0" applyAlignment="1" applyBorder="1" applyFill="1" applyFont="1" applyNumberFormat="1">
      <alignment horizontal="right" shrinkToFit="0" vertical="top" wrapText="1"/>
    </xf>
    <xf borderId="23" fillId="2" fontId="1" numFmtId="3" xfId="0" applyAlignment="1" applyBorder="1" applyFill="1" applyFont="1" applyNumberFormat="1">
      <alignment horizontal="right" shrinkToFit="0" vertical="top" wrapText="1"/>
    </xf>
    <xf borderId="84" fillId="0" fontId="1" numFmtId="0" xfId="0" applyAlignment="1" applyBorder="1" applyFont="1">
      <alignment shrinkToFit="0" vertical="top" wrapText="1"/>
    </xf>
    <xf borderId="20" fillId="2" fontId="1" numFmtId="3" xfId="0" applyAlignment="1" applyBorder="1" applyFill="1" applyFont="1" applyNumberFormat="1">
      <alignment horizontal="right" shrinkToFit="0" vertical="top" wrapText="1"/>
    </xf>
    <xf borderId="39" fillId="0" fontId="1" numFmtId="0" xfId="0" applyAlignment="1" applyBorder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24" fillId="2" fontId="1" numFmtId="0" xfId="0" applyAlignment="1" applyBorder="1" applyFill="1" applyFont="1">
      <alignment shrinkToFit="0" vertical="top" wrapText="1"/>
    </xf>
    <xf borderId="25" fillId="2" fontId="1" numFmtId="3" xfId="0" applyAlignment="1" applyBorder="1" applyFill="1" applyFont="1" applyNumberFormat="1">
      <alignment horizontal="right" shrinkToFit="0" vertical="top" wrapText="1"/>
    </xf>
    <xf borderId="0" fillId="0" fontId="2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4" fillId="0" fontId="11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167" xfId="0" applyAlignment="1" applyBorder="1" applyFont="1" applyNumberFormat="1">
      <alignment horizontal="right" shrinkToFit="0" vertical="center" wrapText="0"/>
    </xf>
    <xf borderId="9" fillId="0" fontId="1" numFmtId="167" xfId="0" applyAlignment="1" applyBorder="1" applyFont="1" applyNumberFormat="1">
      <alignment horizontal="right" shrinkToFit="0" vertical="center" wrapText="0"/>
    </xf>
    <xf borderId="14" fillId="2" fontId="1" numFmtId="167" xfId="0" applyAlignment="1" applyBorder="1" applyFill="1" applyFont="1" applyNumberFormat="1">
      <alignment horizontal="right" shrinkToFit="0" vertical="center" wrapText="0"/>
    </xf>
    <xf borderId="21" fillId="2" fontId="1" numFmtId="167" xfId="0" applyAlignment="1" applyBorder="1" applyFill="1" applyFont="1" applyNumberFormat="1">
      <alignment horizontal="right" shrinkToFit="0" vertical="center" wrapText="0"/>
    </xf>
    <xf borderId="30" fillId="0" fontId="2" numFmtId="167" xfId="0" applyAlignment="1" applyBorder="1" applyFont="1" applyNumberFormat="1">
      <alignment horizontal="right" shrinkToFit="0" vertical="center" wrapText="0"/>
    </xf>
    <xf borderId="76" fillId="0" fontId="2" numFmtId="167" xfId="0" applyAlignment="1" applyBorder="1" applyFont="1" applyNumberFormat="1">
      <alignment horizontal="right" shrinkToFit="0" vertical="center" wrapText="0"/>
    </xf>
    <xf borderId="9" fillId="0" fontId="11" numFmtId="167" xfId="0" applyAlignment="1" applyBorder="1" applyFont="1" applyNumberFormat="1">
      <alignment horizontal="right" shrinkToFit="0" vertical="center" wrapText="0"/>
    </xf>
    <xf borderId="0" fillId="0" fontId="9" numFmtId="0" xfId="0" applyAlignment="1" applyFont="1">
      <alignment shrinkToFit="0" vertical="bottom" wrapText="0"/>
    </xf>
    <xf borderId="21" fillId="2" fontId="10" numFmtId="167" xfId="0" applyAlignment="1" applyBorder="1" applyFill="1" applyFont="1" applyNumberFormat="1">
      <alignment horizontal="right" shrinkToFit="0" vertical="center" wrapText="0"/>
    </xf>
    <xf borderId="30" fillId="0" fontId="1" numFmtId="167" xfId="0" applyAlignment="1" applyBorder="1" applyFont="1" applyNumberFormat="1">
      <alignment horizontal="right" shrinkToFit="0" vertical="center" wrapText="0"/>
    </xf>
    <xf borderId="76" fillId="0" fontId="10" numFmtId="167" xfId="0" applyAlignment="1" applyBorder="1" applyFont="1" applyNumberFormat="1">
      <alignment horizontal="right" shrinkToFit="0" vertical="center" wrapText="0"/>
    </xf>
    <xf borderId="76" fillId="0" fontId="1" numFmtId="167" xfId="0" applyAlignment="1" applyBorder="1" applyFont="1" applyNumberFormat="1">
      <alignment horizontal="right" shrinkToFit="0" vertical="center" wrapText="0"/>
    </xf>
    <xf borderId="8" fillId="0" fontId="1" numFmtId="168" xfId="0" applyAlignment="1" applyBorder="1" applyFont="1" applyNumberFormat="1">
      <alignment shrinkToFit="0" vertical="center" wrapText="0"/>
    </xf>
    <xf borderId="12" fillId="3" fontId="1" numFmtId="0" xfId="0" applyAlignment="1" applyBorder="1" applyFill="1" applyFont="1">
      <alignment shrinkToFit="0" vertical="center" wrapText="0"/>
    </xf>
    <xf borderId="67" fillId="2" fontId="15" numFmtId="0" xfId="0" applyAlignment="1" applyBorder="1" applyFill="1" applyFont="1">
      <alignment shrinkToFit="0" vertical="bottom" wrapText="0"/>
    </xf>
    <xf borderId="30" fillId="2" fontId="15" numFmtId="0" xfId="0" applyAlignment="1" applyBorder="1" applyFill="1" applyFont="1">
      <alignment shrinkToFit="0" vertical="bottom" wrapText="0"/>
    </xf>
    <xf borderId="61" fillId="0" fontId="1" numFmtId="0" xfId="0" applyAlignment="1" applyBorder="1" applyFont="1">
      <alignment shrinkToFit="0" vertical="bottom" wrapText="0"/>
    </xf>
    <xf borderId="30" fillId="0" fontId="10" numFmtId="0" xfId="0" applyAlignment="1" applyBorder="1" applyFont="1">
      <alignment shrinkToFit="0" vertical="bottom" wrapText="0"/>
    </xf>
    <xf borderId="0" fillId="0" fontId="28" numFmtId="0" xfId="0" applyAlignment="1" applyFont="1">
      <alignment shrinkToFit="0" vertical="bottom" wrapText="0"/>
    </xf>
    <xf borderId="30" fillId="0" fontId="1" numFmtId="0" xfId="0" applyAlignment="1" applyBorder="1" applyFont="1">
      <alignment shrinkToFit="0" vertical="bottom" wrapText="0"/>
    </xf>
    <xf borderId="67" fillId="2" fontId="9" numFmtId="0" xfId="0" applyAlignment="1" applyBorder="1" applyFill="1" applyFont="1">
      <alignment shrinkToFit="0" vertical="bottom" wrapText="0"/>
    </xf>
    <xf borderId="30" fillId="2" fontId="9" numFmtId="0" xfId="0" applyAlignment="1" applyBorder="1" applyFill="1" applyFont="1">
      <alignment shrinkToFit="0" vertical="bottom" wrapText="0"/>
    </xf>
    <xf borderId="63" fillId="0" fontId="2" numFmtId="0" xfId="0" applyAlignment="1" applyBorder="1" applyFont="1">
      <alignment shrinkToFit="0" vertical="bottom" wrapText="0"/>
    </xf>
    <xf borderId="47" fillId="0" fontId="26" numFmtId="167" xfId="0" applyAlignment="1" applyBorder="1" applyFont="1" applyNumberFormat="1">
      <alignment shrinkToFit="0" vertical="bottom" wrapText="0"/>
    </xf>
    <xf borderId="0" fillId="0" fontId="2" numFmtId="3" xfId="0" applyAlignment="1" applyFont="1" applyNumberFormat="1">
      <alignment horizontal="right" shrinkToFit="0" vertical="center" wrapText="0"/>
    </xf>
    <xf borderId="39" fillId="0" fontId="1" numFmtId="0" xfId="0" applyAlignment="1" applyBorder="1" applyFont="1">
      <alignment shrinkToFit="0" vertical="center" wrapText="0"/>
    </xf>
    <xf borderId="39" fillId="0" fontId="1" numFmtId="167" xfId="0" applyAlignment="1" applyBorder="1" applyFont="1" applyNumberFormat="1">
      <alignment horizontal="right" shrinkToFit="0" vertical="center" wrapText="0"/>
    </xf>
    <xf borderId="0" fillId="0" fontId="4" numFmtId="167" xfId="0" applyAlignment="1" applyFont="1" applyNumberFormat="1">
      <alignment shrinkToFit="0" vertical="bottom" wrapText="0"/>
    </xf>
    <xf borderId="39" fillId="0" fontId="9" numFmtId="0" xfId="0" applyAlignment="1" applyBorder="1" applyFont="1">
      <alignment shrinkToFit="0" vertical="bottom" wrapText="0"/>
    </xf>
    <xf borderId="61" fillId="0" fontId="9" numFmtId="0" xfId="0" applyAlignment="1" applyBorder="1" applyFont="1">
      <alignment horizontal="center" shrinkToFit="0" vertical="bottom" wrapText="0"/>
    </xf>
    <xf borderId="64" fillId="0" fontId="12" numFmtId="0" xfId="0" applyBorder="1" applyFont="1"/>
    <xf borderId="39" fillId="0" fontId="9" numFmtId="0" xfId="0" applyAlignment="1" applyBorder="1" applyFont="1">
      <alignment horizontal="center" shrinkToFit="0" vertical="bottom" wrapText="0"/>
    </xf>
    <xf borderId="39" fillId="0" fontId="9" numFmtId="168" xfId="0" applyAlignment="1" applyBorder="1" applyFont="1" applyNumberFormat="1">
      <alignment shrinkToFit="0" vertical="bottom" wrapText="0"/>
    </xf>
    <xf borderId="39" fillId="0" fontId="9" numFmtId="10" xfId="0" applyAlignment="1" applyBorder="1" applyFont="1" applyNumberFormat="1">
      <alignment shrinkToFit="0" vertical="bottom" wrapText="0"/>
    </xf>
    <xf borderId="39" fillId="0" fontId="9" numFmtId="169" xfId="0" applyAlignment="1" applyBorder="1" applyFont="1" applyNumberFormat="1">
      <alignment shrinkToFit="0" vertical="bottom" wrapText="0"/>
    </xf>
    <xf borderId="10" fillId="0" fontId="11" numFmtId="0" xfId="0" applyAlignment="1" applyBorder="1" applyFont="1">
      <alignment shrinkToFit="0" vertical="center" wrapText="0"/>
    </xf>
    <xf borderId="4" fillId="0" fontId="2" numFmtId="167" xfId="0" applyAlignment="1" applyBorder="1" applyFont="1" applyNumberFormat="1">
      <alignment shrinkToFit="0" vertical="center" wrapText="0"/>
    </xf>
    <xf borderId="75" fillId="0" fontId="2" numFmtId="167" xfId="0" applyAlignment="1" applyBorder="1" applyFont="1" applyNumberFormat="1">
      <alignment shrinkToFit="0" vertical="center" wrapText="0"/>
    </xf>
    <xf borderId="18" fillId="0" fontId="2" numFmtId="167" xfId="0" applyAlignment="1" applyBorder="1" applyFont="1" applyNumberFormat="1">
      <alignment shrinkToFit="0" vertical="center" wrapText="0"/>
    </xf>
    <xf borderId="24" fillId="0" fontId="2" numFmtId="167" xfId="0" applyAlignment="1" applyBorder="1" applyFont="1" applyNumberFormat="1">
      <alignment horizontal="center" shrinkToFit="0" vertical="center" wrapText="0"/>
    </xf>
    <xf borderId="45" fillId="0" fontId="2" numFmtId="167" xfId="0" applyAlignment="1" applyBorder="1" applyFont="1" applyNumberFormat="1">
      <alignment horizontal="center" shrinkToFit="0" vertical="center" wrapText="0"/>
    </xf>
    <xf borderId="38" fillId="0" fontId="2" numFmtId="167" xfId="0" applyAlignment="1" applyBorder="1" applyFont="1" applyNumberFormat="1">
      <alignment horizontal="center" shrinkToFit="0" vertical="center" wrapText="0"/>
    </xf>
    <xf borderId="8" fillId="0" fontId="2" numFmtId="49" xfId="0" applyAlignment="1" applyBorder="1" applyFont="1" applyNumberFormat="1">
      <alignment shrinkToFit="0" vertical="center" wrapText="0"/>
    </xf>
    <xf borderId="8" fillId="0" fontId="2" numFmtId="167" xfId="0" applyAlignment="1" applyBorder="1" applyFont="1" applyNumberFormat="1">
      <alignment horizontal="right" shrinkToFit="0" vertical="center" wrapText="0"/>
    </xf>
    <xf borderId="57" fillId="0" fontId="2" numFmtId="167" xfId="0" applyAlignment="1" applyBorder="1" applyFont="1" applyNumberFormat="1">
      <alignment horizontal="right" shrinkToFit="0" vertical="center" wrapText="0"/>
    </xf>
    <xf borderId="59" fillId="0" fontId="2" numFmtId="167" xfId="0" applyAlignment="1" applyBorder="1" applyFont="1" applyNumberFormat="1">
      <alignment horizontal="right" shrinkToFit="0" vertical="center" wrapText="0"/>
    </xf>
    <xf borderId="58" fillId="0" fontId="2" numFmtId="167" xfId="0" applyAlignment="1" applyBorder="1" applyFont="1" applyNumberFormat="1">
      <alignment horizontal="right" shrinkToFit="0" vertical="center" wrapText="0"/>
    </xf>
    <xf borderId="50" fillId="0" fontId="2" numFmtId="167" xfId="0" applyAlignment="1" applyBorder="1" applyFont="1" applyNumberFormat="1">
      <alignment horizontal="right" shrinkToFit="0" vertical="center" wrapText="0"/>
    </xf>
    <xf borderId="51" fillId="0" fontId="2" numFmtId="167" xfId="0" applyAlignment="1" applyBorder="1" applyFont="1" applyNumberFormat="1">
      <alignment horizontal="right" shrinkToFit="0" vertical="center" wrapText="0"/>
    </xf>
    <xf borderId="52" fillId="0" fontId="2" numFmtId="167" xfId="0" applyAlignment="1" applyBorder="1" applyFont="1" applyNumberFormat="1">
      <alignment horizontal="right" shrinkToFit="0" vertical="center" wrapText="0"/>
    </xf>
    <xf borderId="53" fillId="0" fontId="1" numFmtId="167" xfId="0" applyAlignment="1" applyBorder="1" applyFont="1" applyNumberFormat="1">
      <alignment horizontal="right" shrinkToFit="0" vertical="center" wrapText="0"/>
    </xf>
    <xf borderId="61" fillId="0" fontId="1" numFmtId="167" xfId="0" applyAlignment="1" applyBorder="1" applyFont="1" applyNumberFormat="1">
      <alignment horizontal="right" shrinkToFit="0" vertical="center" wrapText="0"/>
    </xf>
    <xf borderId="64" fillId="0" fontId="1" numFmtId="167" xfId="0" applyAlignment="1" applyBorder="1" applyFont="1" applyNumberFormat="1">
      <alignment horizontal="right" shrinkToFit="0" vertical="center" wrapText="0"/>
    </xf>
    <xf borderId="86" fillId="0" fontId="1" numFmtId="167" xfId="0" applyAlignment="1" applyBorder="1" applyFont="1" applyNumberFormat="1">
      <alignment horizontal="right" shrinkToFit="0" vertical="center" wrapText="0"/>
    </xf>
    <xf borderId="20" fillId="0" fontId="1" numFmtId="167" xfId="0" applyAlignment="1" applyBorder="1" applyFont="1" applyNumberFormat="1">
      <alignment horizontal="right" shrinkToFit="0" vertical="center" wrapText="0"/>
    </xf>
    <xf borderId="39" fillId="2" fontId="1" numFmtId="167" xfId="0" applyAlignment="1" applyBorder="1" applyFill="1" applyFont="1" applyNumberFormat="1">
      <alignment horizontal="right" shrinkToFit="0" vertical="center" wrapText="0"/>
    </xf>
    <xf borderId="36" fillId="2" fontId="1" numFmtId="167" xfId="0" applyAlignment="1" applyBorder="1" applyFill="1" applyFont="1" applyNumberFormat="1">
      <alignment horizontal="right" shrinkToFit="0" vertical="center" wrapText="0"/>
    </xf>
    <xf borderId="68" fillId="2" fontId="1" numFmtId="167" xfId="0" applyAlignment="1" applyBorder="1" applyFill="1" applyFont="1" applyNumberFormat="1">
      <alignment horizontal="right" shrinkToFit="0" vertical="center" wrapText="0"/>
    </xf>
    <xf borderId="67" fillId="2" fontId="1" numFmtId="167" xfId="0" applyAlignment="1" applyBorder="1" applyFill="1" applyFont="1" applyNumberFormat="1">
      <alignment horizontal="right" shrinkToFit="0" vertical="center" wrapText="0"/>
    </xf>
    <xf borderId="20" fillId="2" fontId="1" numFmtId="167" xfId="0" applyAlignment="1" applyBorder="1" applyFill="1" applyFont="1" applyNumberFormat="1">
      <alignment horizontal="right" shrinkToFit="0" vertical="center" wrapText="0"/>
    </xf>
    <xf borderId="66" fillId="2" fontId="1" numFmtId="167" xfId="0" applyAlignment="1" applyBorder="1" applyFill="1" applyFont="1" applyNumberFormat="1">
      <alignment horizontal="right" shrinkToFit="0" vertical="center" wrapText="0"/>
    </xf>
    <xf borderId="0" fillId="0" fontId="24" numFmtId="0" xfId="0" applyAlignment="1" applyFont="1">
      <alignment shrinkToFit="0" vertical="center" wrapText="0"/>
    </xf>
    <xf borderId="19" fillId="2" fontId="1" numFmtId="167" xfId="0" applyAlignment="1" applyBorder="1" applyFill="1" applyFont="1" applyNumberFormat="1">
      <alignment horizontal="right" shrinkToFit="0" vertical="center" wrapText="0"/>
    </xf>
    <xf borderId="55" fillId="0" fontId="11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shrinkToFit="0" vertical="center" wrapText="0"/>
    </xf>
    <xf borderId="4" fillId="0" fontId="2" numFmtId="167" xfId="0" applyAlignment="1" applyBorder="1" applyFont="1" applyNumberFormat="1">
      <alignment horizontal="center" shrinkToFit="0" vertical="center" wrapText="0"/>
    </xf>
    <xf borderId="75" fillId="0" fontId="12" numFmtId="0" xfId="0" applyBorder="1" applyFont="1"/>
    <xf borderId="18" fillId="0" fontId="12" numFmtId="0" xfId="0" applyBorder="1" applyFont="1"/>
    <xf borderId="10" fillId="0" fontId="2" numFmtId="0" xfId="0" applyAlignment="1" applyBorder="1" applyFont="1">
      <alignment horizontal="left" shrinkToFit="0" vertical="center" wrapText="0"/>
    </xf>
    <xf borderId="29" fillId="0" fontId="2" numFmtId="167" xfId="0" applyAlignment="1" applyBorder="1" applyFont="1" applyNumberFormat="1">
      <alignment horizontal="center" shrinkToFit="0" vertical="center" wrapText="0"/>
    </xf>
    <xf borderId="73" fillId="0" fontId="2" numFmtId="167" xfId="0" applyAlignment="1" applyBorder="1" applyFont="1" applyNumberFormat="1">
      <alignment horizontal="center" shrinkToFit="0" vertical="center" wrapText="0"/>
    </xf>
    <xf borderId="74" fillId="0" fontId="2" numFmtId="167" xfId="0" applyAlignment="1" applyBorder="1" applyFont="1" applyNumberFormat="1">
      <alignment horizontal="center" shrinkToFit="0" vertical="center" wrapText="0"/>
    </xf>
    <xf borderId="0" fillId="0" fontId="9" numFmtId="0" xfId="0" applyAlignment="1" applyFont="1">
      <alignment horizontal="left" shrinkToFit="0" vertical="bottom" wrapText="0"/>
    </xf>
    <xf borderId="1" fillId="0" fontId="1" numFmtId="167" xfId="0" applyAlignment="1" applyBorder="1" applyFont="1" applyNumberFormat="1">
      <alignment horizontal="right" shrinkToFit="0" vertical="center" wrapText="0"/>
    </xf>
    <xf borderId="19" fillId="0" fontId="1" numFmtId="167" xfId="0" applyAlignment="1" applyBorder="1" applyFont="1" applyNumberFormat="1">
      <alignment horizontal="right" shrinkToFit="0" vertical="center" wrapText="0"/>
    </xf>
    <xf borderId="57" fillId="0" fontId="1" numFmtId="167" xfId="0" applyAlignment="1" applyBorder="1" applyFont="1" applyNumberFormat="1">
      <alignment horizontal="right" shrinkToFit="0" vertical="center" wrapText="0"/>
    </xf>
    <xf borderId="58" fillId="0" fontId="1" numFmtId="167" xfId="0" applyAlignment="1" applyBorder="1" applyFont="1" applyNumberFormat="1">
      <alignment horizontal="right" shrinkToFit="0" vertical="center" wrapText="0"/>
    </xf>
    <xf borderId="43" fillId="2" fontId="1" numFmtId="49" xfId="0" applyAlignment="1" applyBorder="1" applyFill="1" applyFont="1" applyNumberFormat="1">
      <alignment shrinkToFit="0" vertical="center" wrapText="0"/>
    </xf>
    <xf borderId="3" fillId="2" fontId="1" numFmtId="167" xfId="0" applyAlignment="1" applyBorder="1" applyFill="1" applyFont="1" applyNumberFormat="1">
      <alignment horizontal="right" shrinkToFit="0" vertical="center" wrapText="0"/>
    </xf>
    <xf borderId="44" fillId="2" fontId="1" numFmtId="167" xfId="0" applyAlignment="1" applyBorder="1" applyFill="1" applyFont="1" applyNumberFormat="1">
      <alignment horizontal="right" shrinkToFit="0" vertical="center" wrapText="0"/>
    </xf>
    <xf borderId="5" fillId="2" fontId="1" numFmtId="167" xfId="0" applyAlignment="1" applyBorder="1" applyFill="1" applyFont="1" applyNumberFormat="1">
      <alignment horizontal="right" shrinkToFit="0" vertical="center" wrapText="0"/>
    </xf>
    <xf borderId="70" fillId="2" fontId="1" numFmtId="167" xfId="0" applyAlignment="1" applyBorder="1" applyFill="1" applyFont="1" applyNumberFormat="1">
      <alignment horizontal="right" shrinkToFit="0" vertical="center" wrapText="0"/>
    </xf>
    <xf borderId="54" fillId="2" fontId="1" numFmtId="49" xfId="0" applyAlignment="1" applyBorder="1" applyFill="1" applyFont="1" applyNumberFormat="1">
      <alignment shrinkToFit="0" vertical="center" wrapText="0"/>
    </xf>
    <xf borderId="24" fillId="2" fontId="1" numFmtId="167" xfId="0" applyAlignment="1" applyBorder="1" applyFill="1" applyFont="1" applyNumberFormat="1">
      <alignment horizontal="right" shrinkToFit="0" vertical="center" wrapText="0"/>
    </xf>
    <xf borderId="45" fillId="2" fontId="1" numFmtId="167" xfId="0" applyAlignment="1" applyBorder="1" applyFill="1" applyFont="1" applyNumberFormat="1">
      <alignment horizontal="right" shrinkToFit="0" vertical="center" wrapText="0"/>
    </xf>
    <xf borderId="38" fillId="2" fontId="1" numFmtId="167" xfId="0" applyAlignment="1" applyBorder="1" applyFill="1" applyFont="1" applyNumberFormat="1">
      <alignment horizontal="right" shrinkToFit="0" vertical="center" wrapText="0"/>
    </xf>
    <xf borderId="71" fillId="2" fontId="1" numFmtId="167" xfId="0" applyAlignment="1" applyBorder="1" applyFill="1" applyFont="1" applyNumberFormat="1">
      <alignment horizontal="right" shrinkToFit="0" vertical="center" wrapText="0"/>
    </xf>
    <xf borderId="87" fillId="0" fontId="2" numFmtId="49" xfId="0" applyAlignment="1" applyBorder="1" applyFont="1" applyNumberFormat="1">
      <alignment shrinkToFit="0" vertical="center" wrapText="0"/>
    </xf>
    <xf borderId="84" fillId="0" fontId="2" numFmtId="167" xfId="0" applyAlignment="1" applyBorder="1" applyFont="1" applyNumberFormat="1">
      <alignment horizontal="right" shrinkToFit="0" vertical="center" wrapText="0"/>
    </xf>
    <xf borderId="88" fillId="0" fontId="2" numFmtId="167" xfId="0" applyAlignment="1" applyBorder="1" applyFont="1" applyNumberFormat="1">
      <alignment horizontal="right" shrinkToFit="0" vertical="center" wrapText="0"/>
    </xf>
    <xf borderId="89" fillId="0" fontId="2" numFmtId="167" xfId="0" applyAlignment="1" applyBorder="1" applyFont="1" applyNumberFormat="1">
      <alignment horizontal="right" shrinkToFit="0" vertical="center" wrapText="0"/>
    </xf>
    <xf borderId="90" fillId="0" fontId="2" numFmtId="167" xfId="0" applyAlignment="1" applyBorder="1" applyFont="1" applyNumberFormat="1">
      <alignment horizontal="right" shrinkToFit="0" vertical="center" wrapText="0"/>
    </xf>
    <xf borderId="1" fillId="0" fontId="2" numFmtId="167" xfId="0" applyAlignment="1" applyBorder="1" applyFont="1" applyNumberFormat="1">
      <alignment horizontal="right" shrinkToFit="0" vertical="center" wrapText="0"/>
    </xf>
    <xf borderId="61" fillId="0" fontId="2" numFmtId="49" xfId="0" applyAlignment="1" applyBorder="1" applyFont="1" applyNumberFormat="1">
      <alignment shrinkToFit="0" vertical="center" wrapText="0"/>
    </xf>
    <xf borderId="24" fillId="0" fontId="17" numFmtId="167" xfId="0" applyAlignment="1" applyBorder="1" applyFont="1" applyNumberFormat="1">
      <alignment shrinkToFit="0" vertical="bottom" wrapText="0"/>
    </xf>
    <xf borderId="45" fillId="0" fontId="2" numFmtId="167" xfId="0" applyAlignment="1" applyBorder="1" applyFont="1" applyNumberFormat="1">
      <alignment horizontal="right" shrinkToFit="0" vertical="center" wrapText="0"/>
    </xf>
    <xf borderId="38" fillId="0" fontId="2" numFmtId="167" xfId="0" applyAlignment="1" applyBorder="1" applyFont="1" applyNumberFormat="1">
      <alignment horizontal="right" shrinkToFit="0" vertical="center" wrapText="0"/>
    </xf>
    <xf borderId="24" fillId="0" fontId="2" numFmtId="167" xfId="0" applyAlignment="1" applyBorder="1" applyFont="1" applyNumberFormat="1">
      <alignment horizontal="right" shrinkToFit="0" vertical="center" wrapText="0"/>
    </xf>
    <xf borderId="63" fillId="0" fontId="2" numFmtId="167" xfId="0" applyAlignment="1" applyBorder="1" applyFont="1" applyNumberFormat="1">
      <alignment horizontal="right" shrinkToFit="0" vertical="center" wrapText="0"/>
    </xf>
    <xf borderId="8" fillId="0" fontId="1" numFmtId="49" xfId="0" applyAlignment="1" applyBorder="1" applyFont="1" applyNumberFormat="1">
      <alignment horizontal="right" shrinkToFit="0" vertical="center" wrapText="0"/>
    </xf>
    <xf borderId="24" fillId="0" fontId="1" numFmtId="167" xfId="0" applyAlignment="1" applyBorder="1" applyFont="1" applyNumberFormat="1">
      <alignment shrinkToFit="0" vertical="center" wrapText="0"/>
    </xf>
    <xf borderId="45" fillId="0" fontId="1" numFmtId="167" xfId="0" applyAlignment="1" applyBorder="1" applyFont="1" applyNumberFormat="1">
      <alignment shrinkToFit="0" vertical="center" wrapText="0"/>
    </xf>
    <xf borderId="38" fillId="0" fontId="1" numFmtId="167" xfId="0" applyAlignment="1" applyBorder="1" applyFont="1" applyNumberFormat="1">
      <alignment shrinkToFit="0" vertical="center" wrapText="0"/>
    </xf>
    <xf borderId="46" fillId="0" fontId="2" numFmtId="49" xfId="0" applyAlignment="1" applyBorder="1" applyFont="1" applyNumberFormat="1">
      <alignment shrinkToFit="0" vertical="center" wrapText="0"/>
    </xf>
    <xf borderId="29" fillId="0" fontId="10" numFmtId="167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0"/>
    <col customWidth="1" min="2" max="2" width="38.63"/>
    <col customWidth="1" hidden="1" min="3" max="3" width="0.13"/>
    <col customWidth="1" min="4" max="6" width="10.0"/>
    <col customWidth="1" min="7" max="7" width="27.75"/>
  </cols>
  <sheetData>
    <row r="1" ht="15.75" customHeight="1">
      <c r="A1" s="1"/>
      <c r="B1" s="2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7" t="s">
        <v>2</v>
      </c>
      <c r="B2" s="8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9"/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0" t="s">
        <v>3</v>
      </c>
      <c r="B4" s="1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hidden="1" customHeight="1">
      <c r="A5" s="11"/>
      <c r="B5" s="1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 t="s">
        <v>4</v>
      </c>
      <c r="B6" s="14" t="s">
        <v>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6"/>
      <c r="B7" s="1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21" t="s">
        <v>12</v>
      </c>
      <c r="B8" s="33">
        <f>SUM(B7)</f>
        <v>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1"/>
      <c r="B9" s="11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0" t="s">
        <v>23</v>
      </c>
      <c r="B10" s="3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37" t="s">
        <v>25</v>
      </c>
      <c r="B11" s="38" t="s">
        <v>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3" t="s">
        <v>4</v>
      </c>
      <c r="B12" s="14" t="s">
        <v>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6" t="s">
        <v>27</v>
      </c>
      <c r="B13" s="1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39" t="s">
        <v>28</v>
      </c>
      <c r="B14" s="4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39" t="s">
        <v>30</v>
      </c>
      <c r="B15" s="4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39"/>
      <c r="B16" s="4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21" t="s">
        <v>31</v>
      </c>
      <c r="B17" s="33">
        <f>SUM(B13:B16)</f>
        <v>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1"/>
      <c r="B18" s="1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0" t="s">
        <v>33</v>
      </c>
      <c r="B19" s="1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37" t="s">
        <v>25</v>
      </c>
      <c r="B20" s="38" t="s">
        <v>26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9" t="s">
        <v>35</v>
      </c>
      <c r="B21" s="43">
        <v>1500.0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4" t="s">
        <v>36</v>
      </c>
      <c r="B22" s="43">
        <v>800.0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4" t="s">
        <v>37</v>
      </c>
      <c r="B23" s="4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4"/>
      <c r="B24" s="4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6"/>
      <c r="B25" s="4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21" t="s">
        <v>38</v>
      </c>
      <c r="B26" s="48">
        <f>SUM(B21:B25)</f>
        <v>2300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5"/>
      <c r="B27" s="4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20" t="s">
        <v>42</v>
      </c>
      <c r="B28" s="3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13" t="s">
        <v>43</v>
      </c>
      <c r="B29" s="14" t="s">
        <v>26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4" t="s">
        <v>44</v>
      </c>
      <c r="B30" s="45">
        <v>500.0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4"/>
      <c r="B31" s="4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4"/>
      <c r="B32" s="4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4"/>
      <c r="B33" s="4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39"/>
      <c r="B34" s="4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53" t="s">
        <v>45</v>
      </c>
      <c r="B35" s="55">
        <f>SUM(B30:B34)</f>
        <v>500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20" t="s">
        <v>57</v>
      </c>
      <c r="B37" s="3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3" t="s">
        <v>43</v>
      </c>
      <c r="B38" s="14" t="s">
        <v>26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1.25" hidden="1" customHeight="1">
      <c r="A39" s="44" t="s">
        <v>60</v>
      </c>
      <c r="B39" s="4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4" t="s">
        <v>62</v>
      </c>
      <c r="B40" s="45">
        <v>700.0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4"/>
      <c r="B41" s="4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4"/>
      <c r="B42" s="4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39"/>
      <c r="B43" s="4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39"/>
      <c r="B44" s="4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39"/>
      <c r="B45" s="4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39"/>
      <c r="B46" s="4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6"/>
      <c r="B47" s="6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21" t="s">
        <v>68</v>
      </c>
      <c r="B48" s="33">
        <f>SUM(B39:B47)</f>
        <v>700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9"/>
      <c r="B49" s="72"/>
      <c r="C49" s="4"/>
      <c r="D49" s="4"/>
      <c r="E49" s="4"/>
      <c r="F49" s="4"/>
      <c r="G49" s="73" t="s">
        <v>71</v>
      </c>
      <c r="H49" s="73">
        <v>3500.0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20" t="s">
        <v>72</v>
      </c>
      <c r="B50" s="36"/>
      <c r="C50" s="4"/>
      <c r="D50" s="4"/>
      <c r="E50" s="4"/>
      <c r="F50" s="4"/>
      <c r="G50" s="74" t="s">
        <v>73</v>
      </c>
      <c r="H50" s="75">
        <v>23420.0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13" t="s">
        <v>43</v>
      </c>
      <c r="B51" s="14" t="s">
        <v>26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4"/>
      <c r="B52" s="4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44"/>
      <c r="B53" s="4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4"/>
      <c r="B54" s="4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4"/>
      <c r="B55" s="4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6"/>
      <c r="B56" s="4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1" t="s">
        <v>88</v>
      </c>
      <c r="B57" s="48">
        <f>SUM(B52:B56)</f>
        <v>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3" t="s">
        <v>90</v>
      </c>
      <c r="B59" s="55">
        <f>B57+B48+B35+B26+B17+B8</f>
        <v>3500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5"/>
    <col customWidth="1" min="2" max="2" width="8.63"/>
    <col customWidth="1" min="3" max="4" width="9.38"/>
    <col customWidth="1" min="5" max="5" width="9.13"/>
    <col customWidth="1" min="6" max="6" width="9.5"/>
    <col customWidth="1" min="7" max="7" width="9.63"/>
    <col customWidth="1" min="8" max="8" width="9.38"/>
    <col customWidth="1" min="9" max="9" width="9.5"/>
    <col customWidth="1" min="10" max="10" width="10.0"/>
    <col customWidth="1" min="11" max="11" width="9.88"/>
    <col customWidth="1" min="12" max="12" width="10.0"/>
    <col customWidth="1" min="13" max="13" width="10.13"/>
    <col customWidth="1" min="14" max="26" width="10.0"/>
  </cols>
  <sheetData>
    <row r="1" ht="15.0" customHeight="1">
      <c r="A1" s="5"/>
      <c r="B1" s="1"/>
      <c r="C1" s="1"/>
      <c r="D1" s="1"/>
      <c r="E1" s="1"/>
      <c r="F1" s="1"/>
      <c r="G1" s="1"/>
      <c r="H1" s="1"/>
      <c r="I1" s="6"/>
      <c r="J1" s="12"/>
      <c r="K1" s="12"/>
      <c r="L1" s="12"/>
      <c r="M1" s="6" t="s">
        <v>5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7" t="s">
        <v>9</v>
      </c>
      <c r="B2" s="15"/>
      <c r="C2" s="15"/>
      <c r="D2" s="15"/>
      <c r="E2" s="15"/>
      <c r="F2" s="15"/>
      <c r="G2" s="15"/>
      <c r="H2" s="15"/>
      <c r="I2" s="15"/>
      <c r="J2" s="12"/>
      <c r="K2" s="12"/>
      <c r="L2" s="12"/>
      <c r="M2" s="1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7"/>
      <c r="B3" s="7"/>
      <c r="C3" s="7"/>
      <c r="D3" s="7"/>
      <c r="E3" s="9"/>
      <c r="F3" s="9"/>
      <c r="G3" s="9"/>
      <c r="H3" s="9"/>
      <c r="I3" s="9"/>
      <c r="J3" s="12"/>
      <c r="K3" s="12"/>
      <c r="L3" s="12"/>
      <c r="M3" s="1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0" t="s">
        <v>11</v>
      </c>
      <c r="B4" s="1"/>
      <c r="C4" s="1"/>
      <c r="D4" s="1"/>
      <c r="E4" s="1"/>
      <c r="F4" s="1"/>
      <c r="G4" s="1"/>
      <c r="H4" s="1"/>
      <c r="I4" s="1"/>
      <c r="J4" s="12"/>
      <c r="K4" s="12"/>
      <c r="L4" s="12"/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26"/>
      <c r="B5" s="29"/>
      <c r="C5" s="31"/>
      <c r="D5" s="31"/>
      <c r="E5" s="31"/>
      <c r="F5" s="31"/>
      <c r="G5" s="31" t="s">
        <v>19</v>
      </c>
      <c r="H5" s="31"/>
      <c r="I5" s="31"/>
      <c r="J5" s="31"/>
      <c r="K5" s="31"/>
      <c r="L5" s="31"/>
      <c r="M5" s="51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4.25" customHeight="1">
      <c r="A6" s="56" t="s">
        <v>54</v>
      </c>
      <c r="B6" s="59">
        <v>1.0</v>
      </c>
      <c r="C6" s="61">
        <v>2.0</v>
      </c>
      <c r="D6" s="61">
        <v>3.0</v>
      </c>
      <c r="E6" s="62">
        <v>4.0</v>
      </c>
      <c r="F6" s="59">
        <v>5.0</v>
      </c>
      <c r="G6" s="61">
        <v>6.0</v>
      </c>
      <c r="H6" s="59">
        <v>7.0</v>
      </c>
      <c r="I6" s="61">
        <v>8.0</v>
      </c>
      <c r="J6" s="61">
        <v>9.0</v>
      </c>
      <c r="K6" s="62">
        <v>10.0</v>
      </c>
      <c r="L6" s="61">
        <v>11.0</v>
      </c>
      <c r="M6" s="63">
        <v>12.0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64" t="s">
        <v>65</v>
      </c>
      <c r="B7" s="65">
        <v>250.0</v>
      </c>
      <c r="C7" s="66">
        <v>250.0</v>
      </c>
      <c r="D7" s="70">
        <v>250.0</v>
      </c>
      <c r="E7" s="65">
        <v>250.0</v>
      </c>
      <c r="F7" s="66">
        <v>250.0</v>
      </c>
      <c r="G7" s="70">
        <v>250.0</v>
      </c>
      <c r="H7" s="65">
        <v>250.0</v>
      </c>
      <c r="I7" s="66">
        <v>250.0</v>
      </c>
      <c r="J7" s="70">
        <v>250.0</v>
      </c>
      <c r="K7" s="65">
        <v>250.0</v>
      </c>
      <c r="L7" s="66">
        <v>250.0</v>
      </c>
      <c r="M7" s="70">
        <v>250.0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64" t="s">
        <v>70</v>
      </c>
      <c r="B8" s="67"/>
      <c r="C8" s="69"/>
      <c r="D8" s="71"/>
      <c r="E8" s="67"/>
      <c r="F8" s="69"/>
      <c r="G8" s="71"/>
      <c r="H8" s="67"/>
      <c r="I8" s="69"/>
      <c r="J8" s="71"/>
      <c r="K8" s="67"/>
      <c r="L8" s="69"/>
      <c r="M8" s="7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64" t="s">
        <v>74</v>
      </c>
      <c r="B9" s="67"/>
      <c r="C9" s="69"/>
      <c r="D9" s="71"/>
      <c r="E9" s="67"/>
      <c r="F9" s="69"/>
      <c r="G9" s="71"/>
      <c r="H9" s="67"/>
      <c r="I9" s="69"/>
      <c r="J9" s="71"/>
      <c r="K9" s="67"/>
      <c r="L9" s="69"/>
      <c r="M9" s="7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64" t="s">
        <v>76</v>
      </c>
      <c r="B10" s="67">
        <v>30.0</v>
      </c>
      <c r="C10" s="69">
        <v>30.0</v>
      </c>
      <c r="D10" s="71">
        <v>30.0</v>
      </c>
      <c r="E10" s="67">
        <v>30.0</v>
      </c>
      <c r="F10" s="69">
        <v>30.0</v>
      </c>
      <c r="G10" s="71">
        <v>30.0</v>
      </c>
      <c r="H10" s="67">
        <v>30.0</v>
      </c>
      <c r="I10" s="69">
        <v>30.0</v>
      </c>
      <c r="J10" s="71">
        <v>30.0</v>
      </c>
      <c r="K10" s="67">
        <v>30.0</v>
      </c>
      <c r="L10" s="69">
        <v>30.0</v>
      </c>
      <c r="M10" s="71">
        <v>30.0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64" t="s">
        <v>78</v>
      </c>
      <c r="B11" s="67">
        <v>60.0</v>
      </c>
      <c r="C11" s="69">
        <v>60.0</v>
      </c>
      <c r="D11" s="71">
        <v>60.0</v>
      </c>
      <c r="E11" s="67">
        <v>60.0</v>
      </c>
      <c r="F11" s="69">
        <v>60.0</v>
      </c>
      <c r="G11" s="71">
        <v>60.0</v>
      </c>
      <c r="H11" s="67">
        <v>60.0</v>
      </c>
      <c r="I11" s="69">
        <v>60.0</v>
      </c>
      <c r="J11" s="71">
        <v>60.0</v>
      </c>
      <c r="K11" s="67">
        <v>60.0</v>
      </c>
      <c r="L11" s="69">
        <v>60.0</v>
      </c>
      <c r="M11" s="71">
        <v>60.0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64" t="s">
        <v>80</v>
      </c>
      <c r="B12" s="67"/>
      <c r="C12" s="69"/>
      <c r="D12" s="71"/>
      <c r="E12" s="67"/>
      <c r="F12" s="69"/>
      <c r="G12" s="71"/>
      <c r="H12" s="67"/>
      <c r="I12" s="69"/>
      <c r="J12" s="71"/>
      <c r="K12" s="67"/>
      <c r="L12" s="69"/>
      <c r="M12" s="7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64" t="s">
        <v>82</v>
      </c>
      <c r="B13" s="67">
        <v>250.0</v>
      </c>
      <c r="C13" s="69">
        <v>250.0</v>
      </c>
      <c r="D13" s="71">
        <v>250.0</v>
      </c>
      <c r="E13" s="67">
        <v>250.0</v>
      </c>
      <c r="F13" s="69">
        <v>250.0</v>
      </c>
      <c r="G13" s="71">
        <v>250.0</v>
      </c>
      <c r="H13" s="67">
        <v>250.0</v>
      </c>
      <c r="I13" s="69">
        <v>250.0</v>
      </c>
      <c r="J13" s="71">
        <v>250.0</v>
      </c>
      <c r="K13" s="67">
        <v>250.0</v>
      </c>
      <c r="L13" s="69">
        <v>250.0</v>
      </c>
      <c r="M13" s="71">
        <v>250.0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64" t="s">
        <v>83</v>
      </c>
      <c r="B14" s="67">
        <v>300.0</v>
      </c>
      <c r="C14" s="69">
        <v>300.0</v>
      </c>
      <c r="D14" s="71">
        <v>300.0</v>
      </c>
      <c r="E14" s="67">
        <v>300.0</v>
      </c>
      <c r="F14" s="69">
        <v>300.0</v>
      </c>
      <c r="G14" s="71">
        <v>300.0</v>
      </c>
      <c r="H14" s="67">
        <v>300.0</v>
      </c>
      <c r="I14" s="69">
        <v>300.0</v>
      </c>
      <c r="J14" s="71">
        <v>300.0</v>
      </c>
      <c r="K14" s="67">
        <v>300.0</v>
      </c>
      <c r="L14" s="69">
        <v>300.0</v>
      </c>
      <c r="M14" s="71">
        <v>300.0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64" t="s">
        <v>104</v>
      </c>
      <c r="B15" s="67"/>
      <c r="C15" s="69"/>
      <c r="D15" s="71"/>
      <c r="E15" s="67"/>
      <c r="F15" s="69"/>
      <c r="G15" s="71"/>
      <c r="H15" s="67"/>
      <c r="I15" s="69"/>
      <c r="J15" s="71"/>
      <c r="K15" s="67"/>
      <c r="L15" s="69"/>
      <c r="M15" s="7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64" t="s">
        <v>86</v>
      </c>
      <c r="B16" s="67">
        <v>50.0</v>
      </c>
      <c r="C16" s="69">
        <v>50.0</v>
      </c>
      <c r="D16" s="71">
        <v>50.0</v>
      </c>
      <c r="E16" s="67">
        <v>50.0</v>
      </c>
      <c r="F16" s="69">
        <v>50.0</v>
      </c>
      <c r="G16" s="71">
        <v>50.0</v>
      </c>
      <c r="H16" s="67">
        <v>50.0</v>
      </c>
      <c r="I16" s="69">
        <v>50.0</v>
      </c>
      <c r="J16" s="71">
        <v>50.0</v>
      </c>
      <c r="K16" s="67">
        <v>50.0</v>
      </c>
      <c r="L16" s="69">
        <v>50.0</v>
      </c>
      <c r="M16" s="71">
        <v>50.0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64" t="s">
        <v>89</v>
      </c>
      <c r="B17" s="67">
        <v>150.0</v>
      </c>
      <c r="C17" s="69">
        <v>150.0</v>
      </c>
      <c r="D17" s="71">
        <v>150.0</v>
      </c>
      <c r="E17" s="67">
        <v>150.0</v>
      </c>
      <c r="F17" s="69">
        <v>150.0</v>
      </c>
      <c r="G17" s="71">
        <v>150.0</v>
      </c>
      <c r="H17" s="67">
        <v>150.0</v>
      </c>
      <c r="I17" s="69">
        <v>150.0</v>
      </c>
      <c r="J17" s="71">
        <v>150.0</v>
      </c>
      <c r="K17" s="67">
        <v>150.0</v>
      </c>
      <c r="L17" s="69">
        <v>150.0</v>
      </c>
      <c r="M17" s="71">
        <v>150.0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64" t="s">
        <v>106</v>
      </c>
      <c r="B18" s="67"/>
      <c r="C18" s="69"/>
      <c r="D18" s="71"/>
      <c r="E18" s="67"/>
      <c r="F18" s="69"/>
      <c r="G18" s="71"/>
      <c r="H18" s="67"/>
      <c r="I18" s="69"/>
      <c r="J18" s="71"/>
      <c r="K18" s="67"/>
      <c r="L18" s="69"/>
      <c r="M18" s="7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64" t="s">
        <v>108</v>
      </c>
      <c r="B19" s="67"/>
      <c r="C19" s="69"/>
      <c r="D19" s="71"/>
      <c r="E19" s="67"/>
      <c r="F19" s="69"/>
      <c r="G19" s="71"/>
      <c r="H19" s="67"/>
      <c r="I19" s="69"/>
      <c r="J19" s="71"/>
      <c r="K19" s="67"/>
      <c r="L19" s="69"/>
      <c r="M19" s="7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64" t="s">
        <v>95</v>
      </c>
      <c r="B20" s="67"/>
      <c r="C20" s="69"/>
      <c r="D20" s="71"/>
      <c r="E20" s="67"/>
      <c r="F20" s="69"/>
      <c r="G20" s="71"/>
      <c r="H20" s="67"/>
      <c r="I20" s="69"/>
      <c r="J20" s="71"/>
      <c r="K20" s="67"/>
      <c r="L20" s="69"/>
      <c r="M20" s="7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64" t="s">
        <v>96</v>
      </c>
      <c r="B21" s="67"/>
      <c r="C21" s="69"/>
      <c r="D21" s="71"/>
      <c r="E21" s="67"/>
      <c r="F21" s="69"/>
      <c r="G21" s="71"/>
      <c r="H21" s="67"/>
      <c r="I21" s="69"/>
      <c r="J21" s="71"/>
      <c r="K21" s="67"/>
      <c r="L21" s="69"/>
      <c r="M21" s="7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64" t="s">
        <v>97</v>
      </c>
      <c r="B22" s="67"/>
      <c r="C22" s="69"/>
      <c r="D22" s="71"/>
      <c r="E22" s="67"/>
      <c r="F22" s="69"/>
      <c r="G22" s="71"/>
      <c r="H22" s="67"/>
      <c r="I22" s="69"/>
      <c r="J22" s="71"/>
      <c r="K22" s="67"/>
      <c r="L22" s="69"/>
      <c r="M22" s="7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78" t="s">
        <v>98</v>
      </c>
      <c r="B23" s="67">
        <v>150.0</v>
      </c>
      <c r="C23" s="69">
        <v>150.0</v>
      </c>
      <c r="D23" s="71">
        <v>150.0</v>
      </c>
      <c r="E23" s="67">
        <v>150.0</v>
      </c>
      <c r="F23" s="69">
        <v>150.0</v>
      </c>
      <c r="G23" s="71">
        <v>150.0</v>
      </c>
      <c r="H23" s="67">
        <v>150.0</v>
      </c>
      <c r="I23" s="69">
        <v>150.0</v>
      </c>
      <c r="J23" s="71">
        <v>150.0</v>
      </c>
      <c r="K23" s="67">
        <v>150.0</v>
      </c>
      <c r="L23" s="69">
        <v>150.0</v>
      </c>
      <c r="M23" s="71">
        <v>150.0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78" t="s">
        <v>109</v>
      </c>
      <c r="B24" s="80"/>
      <c r="C24" s="81"/>
      <c r="D24" s="83"/>
      <c r="E24" s="80"/>
      <c r="F24" s="81"/>
      <c r="G24" s="83"/>
      <c r="H24" s="80"/>
      <c r="I24" s="81"/>
      <c r="J24" s="83"/>
      <c r="K24" s="80"/>
      <c r="L24" s="81"/>
      <c r="M24" s="8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78" t="s">
        <v>84</v>
      </c>
      <c r="B25" s="80">
        <v>20.0</v>
      </c>
      <c r="C25" s="81">
        <v>20.0</v>
      </c>
      <c r="D25" s="83">
        <v>20.0</v>
      </c>
      <c r="E25" s="80">
        <v>20.0</v>
      </c>
      <c r="F25" s="81">
        <v>20.0</v>
      </c>
      <c r="G25" s="83">
        <v>20.0</v>
      </c>
      <c r="H25" s="80">
        <v>20.0</v>
      </c>
      <c r="I25" s="81">
        <v>20.0</v>
      </c>
      <c r="J25" s="83">
        <v>20.0</v>
      </c>
      <c r="K25" s="80">
        <v>20.0</v>
      </c>
      <c r="L25" s="81">
        <v>20.0</v>
      </c>
      <c r="M25" s="83">
        <v>20.0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78" t="s">
        <v>93</v>
      </c>
      <c r="B26" s="80">
        <v>50.0</v>
      </c>
      <c r="C26" s="81">
        <v>50.0</v>
      </c>
      <c r="D26" s="83">
        <v>50.0</v>
      </c>
      <c r="E26" s="80">
        <v>50.0</v>
      </c>
      <c r="F26" s="81">
        <v>50.0</v>
      </c>
      <c r="G26" s="83">
        <v>50.0</v>
      </c>
      <c r="H26" s="80">
        <v>50.0</v>
      </c>
      <c r="I26" s="81">
        <v>50.0</v>
      </c>
      <c r="J26" s="83">
        <v>50.0</v>
      </c>
      <c r="K26" s="80">
        <v>50.0</v>
      </c>
      <c r="L26" s="81">
        <v>50.0</v>
      </c>
      <c r="M26" s="83">
        <v>50.0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64" t="s">
        <v>100</v>
      </c>
      <c r="B27" s="84">
        <v>100.0</v>
      </c>
      <c r="C27" s="86">
        <v>100.0</v>
      </c>
      <c r="D27" s="87">
        <v>100.0</v>
      </c>
      <c r="E27" s="84">
        <v>100.0</v>
      </c>
      <c r="F27" s="86">
        <v>100.0</v>
      </c>
      <c r="G27" s="87">
        <v>100.0</v>
      </c>
      <c r="H27" s="84">
        <v>100.0</v>
      </c>
      <c r="I27" s="86">
        <v>100.0</v>
      </c>
      <c r="J27" s="87">
        <v>100.0</v>
      </c>
      <c r="K27" s="84">
        <v>100.0</v>
      </c>
      <c r="L27" s="86">
        <v>100.0</v>
      </c>
      <c r="M27" s="87">
        <v>100.0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89" t="s">
        <v>103</v>
      </c>
      <c r="B28" s="90">
        <f t="shared" ref="B28:M28" si="1">SUM(B7:B27)</f>
        <v>1410</v>
      </c>
      <c r="C28" s="90">
        <f t="shared" si="1"/>
        <v>1410</v>
      </c>
      <c r="D28" s="90">
        <f t="shared" si="1"/>
        <v>1410</v>
      </c>
      <c r="E28" s="90">
        <f t="shared" si="1"/>
        <v>1410</v>
      </c>
      <c r="F28" s="90">
        <f t="shared" si="1"/>
        <v>1410</v>
      </c>
      <c r="G28" s="90">
        <f t="shared" si="1"/>
        <v>1410</v>
      </c>
      <c r="H28" s="90">
        <f t="shared" si="1"/>
        <v>1410</v>
      </c>
      <c r="I28" s="90">
        <f t="shared" si="1"/>
        <v>1410</v>
      </c>
      <c r="J28" s="90">
        <f t="shared" si="1"/>
        <v>1410</v>
      </c>
      <c r="K28" s="90">
        <f t="shared" si="1"/>
        <v>1410</v>
      </c>
      <c r="L28" s="90">
        <f t="shared" si="1"/>
        <v>1410</v>
      </c>
      <c r="M28" s="90">
        <f t="shared" si="1"/>
        <v>1410</v>
      </c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2.75" customHeight="1">
      <c r="A29" s="94"/>
      <c r="B29" s="95"/>
      <c r="C29" s="96"/>
      <c r="D29" s="119"/>
      <c r="E29" s="120"/>
      <c r="F29" s="121"/>
      <c r="G29" s="122"/>
      <c r="H29" s="123"/>
      <c r="I29" s="124"/>
      <c r="J29" s="122"/>
      <c r="K29" s="125"/>
      <c r="L29" s="96"/>
      <c r="M29" s="9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6" t="s">
        <v>105</v>
      </c>
      <c r="B30" s="99"/>
      <c r="C30" s="100"/>
      <c r="D30" s="126"/>
      <c r="E30" s="127"/>
      <c r="F30" s="128"/>
      <c r="G30" s="129"/>
      <c r="H30" s="130"/>
      <c r="I30" s="131"/>
      <c r="J30" s="129"/>
      <c r="K30" s="132"/>
      <c r="L30" s="103"/>
      <c r="M30" s="104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2.75" customHeight="1">
      <c r="A31" s="64" t="s">
        <v>110</v>
      </c>
      <c r="B31" s="133">
        <v>1500.0</v>
      </c>
      <c r="C31" s="134"/>
      <c r="D31" s="135"/>
      <c r="E31" s="136"/>
      <c r="F31" s="134"/>
      <c r="G31" s="137"/>
      <c r="H31" s="138"/>
      <c r="I31" s="137"/>
      <c r="J31" s="135"/>
      <c r="K31" s="139"/>
      <c r="L31" s="134"/>
      <c r="M31" s="13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05" t="s">
        <v>111</v>
      </c>
      <c r="B32" s="67">
        <v>300.0</v>
      </c>
      <c r="C32" s="106"/>
      <c r="D32" s="107"/>
      <c r="E32" s="140"/>
      <c r="F32" s="106"/>
      <c r="G32" s="141"/>
      <c r="H32" s="39"/>
      <c r="I32" s="141"/>
      <c r="J32" s="107"/>
      <c r="K32" s="142"/>
      <c r="L32" s="106"/>
      <c r="M32" s="10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08" t="s">
        <v>112</v>
      </c>
      <c r="B33" s="46">
        <v>4700.0</v>
      </c>
      <c r="C33" s="109"/>
      <c r="D33" s="110"/>
      <c r="E33" s="143"/>
      <c r="F33" s="109"/>
      <c r="G33" s="144"/>
      <c r="H33" s="46"/>
      <c r="I33" s="145"/>
      <c r="J33" s="110"/>
      <c r="K33" s="146"/>
      <c r="L33" s="147"/>
      <c r="M33" s="14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9" t="s">
        <v>107</v>
      </c>
      <c r="B34" s="149">
        <f t="shared" ref="B34:M34" si="2">SUM(B31:B33)</f>
        <v>6500</v>
      </c>
      <c r="C34" s="149">
        <f t="shared" si="2"/>
        <v>0</v>
      </c>
      <c r="D34" s="149">
        <f t="shared" si="2"/>
        <v>0</v>
      </c>
      <c r="E34" s="149">
        <f t="shared" si="2"/>
        <v>0</v>
      </c>
      <c r="F34" s="149">
        <f t="shared" si="2"/>
        <v>0</v>
      </c>
      <c r="G34" s="149">
        <f t="shared" si="2"/>
        <v>0</v>
      </c>
      <c r="H34" s="149">
        <f t="shared" si="2"/>
        <v>0</v>
      </c>
      <c r="I34" s="149">
        <f t="shared" si="2"/>
        <v>0</v>
      </c>
      <c r="J34" s="149">
        <f t="shared" si="2"/>
        <v>0</v>
      </c>
      <c r="K34" s="149">
        <f t="shared" si="2"/>
        <v>0</v>
      </c>
      <c r="L34" s="149">
        <f t="shared" si="2"/>
        <v>0</v>
      </c>
      <c r="M34" s="150">
        <f t="shared" si="2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74" t="s">
        <v>73</v>
      </c>
      <c r="B35" s="151">
        <f t="shared" ref="B35:M35" si="3">SUM(B34,B28)</f>
        <v>7910</v>
      </c>
      <c r="C35" s="152">
        <f t="shared" si="3"/>
        <v>1410</v>
      </c>
      <c r="D35" s="153">
        <f t="shared" si="3"/>
        <v>1410</v>
      </c>
      <c r="E35" s="151">
        <f t="shared" si="3"/>
        <v>1410</v>
      </c>
      <c r="F35" s="152">
        <f t="shared" si="3"/>
        <v>1410</v>
      </c>
      <c r="G35" s="153">
        <f t="shared" si="3"/>
        <v>1410</v>
      </c>
      <c r="H35" s="151">
        <f t="shared" si="3"/>
        <v>1410</v>
      </c>
      <c r="I35" s="152">
        <f t="shared" si="3"/>
        <v>1410</v>
      </c>
      <c r="J35" s="153">
        <f t="shared" si="3"/>
        <v>1410</v>
      </c>
      <c r="K35" s="151">
        <f t="shared" si="3"/>
        <v>1410</v>
      </c>
      <c r="L35" s="152">
        <f t="shared" si="3"/>
        <v>1410</v>
      </c>
      <c r="M35" s="153">
        <f t="shared" si="3"/>
        <v>1410</v>
      </c>
      <c r="N35" s="154">
        <f>SUM(B35:M35)</f>
        <v>23420</v>
      </c>
      <c r="O35" s="73" t="s">
        <v>113</v>
      </c>
      <c r="P35" s="155">
        <v>3500.0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2"/>
      <c r="K36" s="12"/>
      <c r="L36" s="12"/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18"/>
      <c r="B37" s="118"/>
      <c r="C37" s="118"/>
      <c r="D37" s="118"/>
      <c r="E37" s="118"/>
      <c r="F37" s="118"/>
      <c r="G37" s="118"/>
      <c r="H37" s="118"/>
      <c r="I37" s="118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8.63"/>
    <col customWidth="1" min="3" max="4" width="9.38"/>
    <col customWidth="1" min="5" max="5" width="9.13"/>
    <col customWidth="1" min="6" max="6" width="9.5"/>
    <col customWidth="1" min="7" max="7" width="9.63"/>
    <col customWidth="1" min="8" max="8" width="9.38"/>
    <col customWidth="1" min="9" max="9" width="9.5"/>
    <col customWidth="1" min="10" max="26" width="10.0"/>
  </cols>
  <sheetData>
    <row r="1" ht="15.0" customHeight="1">
      <c r="A1" s="5"/>
      <c r="B1" s="1"/>
      <c r="C1" s="1"/>
      <c r="D1" s="1"/>
      <c r="E1" s="1"/>
      <c r="F1" s="1"/>
      <c r="G1" s="1"/>
      <c r="H1" s="1"/>
      <c r="I1" s="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7" t="s">
        <v>6</v>
      </c>
      <c r="B2" s="15"/>
      <c r="C2" s="15"/>
      <c r="D2" s="15"/>
      <c r="E2" s="15"/>
      <c r="F2" s="15"/>
      <c r="G2" s="15"/>
      <c r="H2" s="15"/>
      <c r="I2" s="1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7"/>
      <c r="B3" s="7"/>
      <c r="C3" s="7"/>
      <c r="D3" s="7"/>
      <c r="E3" s="9"/>
      <c r="F3" s="9"/>
      <c r="G3" s="9"/>
      <c r="H3" s="9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0" t="s">
        <v>11</v>
      </c>
      <c r="B4" s="1"/>
      <c r="C4" s="1"/>
      <c r="D4" s="1"/>
      <c r="E4" s="1"/>
      <c r="F4" s="1"/>
      <c r="G4" s="1"/>
      <c r="H4" s="1"/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27"/>
      <c r="B5" s="32" t="s">
        <v>18</v>
      </c>
      <c r="C5" s="50"/>
      <c r="D5" s="50"/>
      <c r="E5" s="52"/>
      <c r="F5" s="32" t="s">
        <v>51</v>
      </c>
      <c r="G5" s="50"/>
      <c r="H5" s="50"/>
      <c r="I5" s="52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3.5" customHeight="1">
      <c r="A6" s="56" t="s">
        <v>54</v>
      </c>
      <c r="B6" s="57" t="s">
        <v>56</v>
      </c>
      <c r="C6" s="58" t="s">
        <v>58</v>
      </c>
      <c r="D6" s="58" t="s">
        <v>59</v>
      </c>
      <c r="E6" s="60" t="s">
        <v>61</v>
      </c>
      <c r="F6" s="57" t="s">
        <v>56</v>
      </c>
      <c r="G6" s="58" t="s">
        <v>58</v>
      </c>
      <c r="H6" s="58" t="s">
        <v>59</v>
      </c>
      <c r="I6" s="60" t="s">
        <v>61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64" t="s">
        <v>65</v>
      </c>
      <c r="B7" s="67">
        <v>750.0</v>
      </c>
      <c r="C7" s="69">
        <v>750.0</v>
      </c>
      <c r="D7" s="69">
        <v>750.0</v>
      </c>
      <c r="E7" s="71">
        <v>750.0</v>
      </c>
      <c r="F7" s="67">
        <v>750.0</v>
      </c>
      <c r="G7" s="69">
        <v>750.0</v>
      </c>
      <c r="H7" s="69">
        <v>750.0</v>
      </c>
      <c r="I7" s="71">
        <v>750.0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64" t="s">
        <v>70</v>
      </c>
      <c r="B8" s="67"/>
      <c r="C8" s="69"/>
      <c r="D8" s="69"/>
      <c r="E8" s="71"/>
      <c r="F8" s="67"/>
      <c r="G8" s="69"/>
      <c r="H8" s="69"/>
      <c r="I8" s="7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64" t="s">
        <v>74</v>
      </c>
      <c r="B9" s="67"/>
      <c r="C9" s="69"/>
      <c r="D9" s="69"/>
      <c r="E9" s="71"/>
      <c r="F9" s="67"/>
      <c r="G9" s="69"/>
      <c r="H9" s="69"/>
      <c r="I9" s="7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64" t="s">
        <v>76</v>
      </c>
      <c r="B10" s="67">
        <v>90.0</v>
      </c>
      <c r="C10" s="69">
        <v>90.0</v>
      </c>
      <c r="D10" s="69">
        <v>90.0</v>
      </c>
      <c r="E10" s="71">
        <v>90.0</v>
      </c>
      <c r="F10" s="67">
        <v>90.0</v>
      </c>
      <c r="G10" s="69">
        <v>90.0</v>
      </c>
      <c r="H10" s="69">
        <v>90.0</v>
      </c>
      <c r="I10" s="71">
        <v>90.0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64" t="s">
        <v>78</v>
      </c>
      <c r="B11" s="67">
        <v>180.0</v>
      </c>
      <c r="C11" s="69">
        <v>180.0</v>
      </c>
      <c r="D11" s="69">
        <v>180.0</v>
      </c>
      <c r="E11" s="71">
        <v>180.0</v>
      </c>
      <c r="F11" s="67">
        <v>180.0</v>
      </c>
      <c r="G11" s="69">
        <v>180.0</v>
      </c>
      <c r="H11" s="69">
        <v>180.0</v>
      </c>
      <c r="I11" s="71">
        <v>180.0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64" t="s">
        <v>80</v>
      </c>
      <c r="B12" s="67"/>
      <c r="C12" s="69"/>
      <c r="D12" s="69"/>
      <c r="E12" s="71"/>
      <c r="F12" s="67"/>
      <c r="G12" s="69"/>
      <c r="H12" s="69"/>
      <c r="I12" s="7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64" t="s">
        <v>82</v>
      </c>
      <c r="B13" s="67">
        <v>750.0</v>
      </c>
      <c r="C13" s="69">
        <v>750.0</v>
      </c>
      <c r="D13" s="69">
        <v>750.0</v>
      </c>
      <c r="E13" s="71">
        <v>750.0</v>
      </c>
      <c r="F13" s="67">
        <v>750.0</v>
      </c>
      <c r="G13" s="69">
        <v>750.0</v>
      </c>
      <c r="H13" s="69">
        <v>750.0</v>
      </c>
      <c r="I13" s="71">
        <v>750.0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64" t="s">
        <v>83</v>
      </c>
      <c r="B14" s="67">
        <v>900.0</v>
      </c>
      <c r="C14" s="69">
        <v>900.0</v>
      </c>
      <c r="D14" s="69">
        <v>900.0</v>
      </c>
      <c r="E14" s="71">
        <v>900.0</v>
      </c>
      <c r="F14" s="67">
        <v>900.0</v>
      </c>
      <c r="G14" s="69">
        <v>900.0</v>
      </c>
      <c r="H14" s="69">
        <v>900.0</v>
      </c>
      <c r="I14" s="71">
        <v>900.0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64" t="s">
        <v>84</v>
      </c>
      <c r="B15" s="67">
        <v>60.0</v>
      </c>
      <c r="C15" s="69">
        <v>60.0</v>
      </c>
      <c r="D15" s="69">
        <v>60.0</v>
      </c>
      <c r="E15" s="71">
        <v>60.0</v>
      </c>
      <c r="F15" s="67">
        <v>60.0</v>
      </c>
      <c r="G15" s="69">
        <v>60.0</v>
      </c>
      <c r="H15" s="69">
        <v>60.0</v>
      </c>
      <c r="I15" s="71">
        <v>60.0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64" t="s">
        <v>86</v>
      </c>
      <c r="B16" s="67">
        <v>150.0</v>
      </c>
      <c r="C16" s="69">
        <v>150.0</v>
      </c>
      <c r="D16" s="69">
        <v>150.0</v>
      </c>
      <c r="E16" s="71">
        <v>150.0</v>
      </c>
      <c r="F16" s="67">
        <v>150.0</v>
      </c>
      <c r="G16" s="69">
        <v>150.0</v>
      </c>
      <c r="H16" s="69">
        <v>150.0</v>
      </c>
      <c r="I16" s="71">
        <v>150.0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64" t="s">
        <v>89</v>
      </c>
      <c r="B17" s="67">
        <v>450.0</v>
      </c>
      <c r="C17" s="69">
        <v>450.0</v>
      </c>
      <c r="D17" s="69">
        <v>450.0</v>
      </c>
      <c r="E17" s="71">
        <v>450.0</v>
      </c>
      <c r="F17" s="67">
        <v>450.0</v>
      </c>
      <c r="G17" s="69">
        <v>450.0</v>
      </c>
      <c r="H17" s="69">
        <v>450.0</v>
      </c>
      <c r="I17" s="71">
        <v>450.0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64" t="s">
        <v>91</v>
      </c>
      <c r="B18" s="67"/>
      <c r="C18" s="69"/>
      <c r="D18" s="69"/>
      <c r="E18" s="71"/>
      <c r="F18" s="67"/>
      <c r="G18" s="69"/>
      <c r="H18" s="69"/>
      <c r="I18" s="7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64" t="s">
        <v>93</v>
      </c>
      <c r="B19" s="67">
        <v>150.0</v>
      </c>
      <c r="C19" s="69">
        <v>150.0</v>
      </c>
      <c r="D19" s="69">
        <v>150.0</v>
      </c>
      <c r="E19" s="71">
        <v>150.0</v>
      </c>
      <c r="F19" s="67">
        <v>150.0</v>
      </c>
      <c r="G19" s="69">
        <v>150.0</v>
      </c>
      <c r="H19" s="69">
        <v>150.0</v>
      </c>
      <c r="I19" s="71">
        <v>150.0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64" t="s">
        <v>95</v>
      </c>
      <c r="B20" s="67"/>
      <c r="C20" s="69"/>
      <c r="D20" s="69"/>
      <c r="E20" s="71"/>
      <c r="F20" s="67"/>
      <c r="G20" s="69"/>
      <c r="H20" s="69"/>
      <c r="I20" s="7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64" t="s">
        <v>96</v>
      </c>
      <c r="B21" s="67"/>
      <c r="C21" s="69"/>
      <c r="D21" s="69"/>
      <c r="E21" s="71"/>
      <c r="F21" s="67"/>
      <c r="G21" s="69"/>
      <c r="H21" s="69"/>
      <c r="I21" s="7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64" t="s">
        <v>97</v>
      </c>
      <c r="B22" s="67"/>
      <c r="C22" s="69"/>
      <c r="D22" s="69"/>
      <c r="E22" s="71"/>
      <c r="F22" s="67"/>
      <c r="G22" s="69"/>
      <c r="H22" s="69"/>
      <c r="I22" s="7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78" t="s">
        <v>98</v>
      </c>
      <c r="B23" s="80">
        <v>450.0</v>
      </c>
      <c r="C23" s="81">
        <v>450.0</v>
      </c>
      <c r="D23" s="81">
        <v>450.0</v>
      </c>
      <c r="E23" s="83">
        <v>450.0</v>
      </c>
      <c r="F23" s="80">
        <v>450.0</v>
      </c>
      <c r="G23" s="81">
        <v>450.0</v>
      </c>
      <c r="H23" s="81">
        <v>450.0</v>
      </c>
      <c r="I23" s="83">
        <v>450.0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78" t="s">
        <v>100</v>
      </c>
      <c r="B24" s="84">
        <v>300.0</v>
      </c>
      <c r="C24" s="86">
        <v>300.0</v>
      </c>
      <c r="D24" s="86">
        <v>300.0</v>
      </c>
      <c r="E24" s="87">
        <v>300.0</v>
      </c>
      <c r="F24" s="84">
        <v>300.0</v>
      </c>
      <c r="G24" s="86">
        <v>300.0</v>
      </c>
      <c r="H24" s="86">
        <v>300.0</v>
      </c>
      <c r="I24" s="87">
        <v>300.0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89" t="s">
        <v>103</v>
      </c>
      <c r="B25" s="91">
        <f t="shared" ref="B25:I25" si="1">SUM(B7:B24)</f>
        <v>4230</v>
      </c>
      <c r="C25" s="91">
        <f t="shared" si="1"/>
        <v>4230</v>
      </c>
      <c r="D25" s="91">
        <f t="shared" si="1"/>
        <v>4230</v>
      </c>
      <c r="E25" s="91">
        <f t="shared" si="1"/>
        <v>4230</v>
      </c>
      <c r="F25" s="91">
        <f t="shared" si="1"/>
        <v>4230</v>
      </c>
      <c r="G25" s="91">
        <f t="shared" si="1"/>
        <v>4230</v>
      </c>
      <c r="H25" s="91">
        <f t="shared" si="1"/>
        <v>4230</v>
      </c>
      <c r="I25" s="91">
        <f t="shared" si="1"/>
        <v>4230</v>
      </c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2.75" customHeight="1">
      <c r="A26" s="94"/>
      <c r="B26" s="95"/>
      <c r="C26" s="96"/>
      <c r="D26" s="96"/>
      <c r="E26" s="97"/>
      <c r="F26" s="98"/>
      <c r="G26" s="96"/>
      <c r="H26" s="96"/>
      <c r="I26" s="9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56" t="s">
        <v>105</v>
      </c>
      <c r="B27" s="99"/>
      <c r="C27" s="100"/>
      <c r="D27" s="100"/>
      <c r="E27" s="101"/>
      <c r="F27" s="102"/>
      <c r="G27" s="103"/>
      <c r="H27" s="103"/>
      <c r="I27" s="104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2.75" customHeight="1">
      <c r="A28" s="105"/>
      <c r="B28" s="67"/>
      <c r="C28" s="106"/>
      <c r="D28" s="106"/>
      <c r="E28" s="107"/>
      <c r="F28" s="64"/>
      <c r="G28" s="106"/>
      <c r="H28" s="106"/>
      <c r="I28" s="10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08"/>
      <c r="B29" s="46"/>
      <c r="C29" s="109"/>
      <c r="D29" s="109"/>
      <c r="E29" s="110"/>
      <c r="F29" s="111"/>
      <c r="G29" s="109"/>
      <c r="H29" s="109"/>
      <c r="I29" s="110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9" t="s">
        <v>107</v>
      </c>
      <c r="B30" s="112">
        <f t="shared" ref="B30:I30" si="2">SUM(B28:B29)</f>
        <v>0</v>
      </c>
      <c r="C30" s="113">
        <f t="shared" si="2"/>
        <v>0</v>
      </c>
      <c r="D30" s="113">
        <f t="shared" si="2"/>
        <v>0</v>
      </c>
      <c r="E30" s="114">
        <f t="shared" si="2"/>
        <v>0</v>
      </c>
      <c r="F30" s="112">
        <f t="shared" si="2"/>
        <v>0</v>
      </c>
      <c r="G30" s="113">
        <f t="shared" si="2"/>
        <v>0</v>
      </c>
      <c r="H30" s="113">
        <f t="shared" si="2"/>
        <v>0</v>
      </c>
      <c r="I30" s="114">
        <f t="shared" si="2"/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15" t="s">
        <v>73</v>
      </c>
      <c r="B31" s="116">
        <f t="shared" ref="B31:I31" si="3">SUM(B30,B25)</f>
        <v>4230</v>
      </c>
      <c r="C31" s="117">
        <f t="shared" si="3"/>
        <v>4230</v>
      </c>
      <c r="D31" s="117">
        <f t="shared" si="3"/>
        <v>4230</v>
      </c>
      <c r="E31" s="117">
        <f t="shared" si="3"/>
        <v>4230</v>
      </c>
      <c r="F31" s="112">
        <f t="shared" si="3"/>
        <v>4230</v>
      </c>
      <c r="G31" s="113">
        <f t="shared" si="3"/>
        <v>4230</v>
      </c>
      <c r="H31" s="113">
        <f t="shared" si="3"/>
        <v>4230</v>
      </c>
      <c r="I31" s="114">
        <f t="shared" si="3"/>
        <v>4230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"/>
      <c r="B32" s="118"/>
      <c r="C32" s="118"/>
      <c r="D32" s="118"/>
      <c r="E32" s="118"/>
      <c r="F32" s="118"/>
      <c r="G32" s="118"/>
      <c r="H32" s="118"/>
      <c r="I32" s="118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2.75" customHeight="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1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5:E5"/>
    <mergeCell ref="F5:I5"/>
  </mergeCells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88"/>
    <col customWidth="1" min="2" max="2" width="16.38"/>
    <col customWidth="1" min="3" max="3" width="17.63"/>
    <col customWidth="1" min="4" max="6" width="10.0"/>
  </cols>
  <sheetData>
    <row r="1" ht="17.25" customHeight="1">
      <c r="A1" s="3"/>
      <c r="B1" s="3"/>
      <c r="C1" s="6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3"/>
      <c r="B2" s="3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7" t="s">
        <v>7</v>
      </c>
      <c r="B3" s="5"/>
      <c r="C3" s="9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"/>
      <c r="B4" s="1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7"/>
      <c r="B5" s="19" t="s">
        <v>10</v>
      </c>
      <c r="C5" s="19" t="s"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2"/>
      <c r="B6" s="23" t="s">
        <v>13</v>
      </c>
      <c r="C6" s="23" t="s">
        <v>14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4" t="s">
        <v>15</v>
      </c>
      <c r="B7" s="25" t="s">
        <v>16</v>
      </c>
      <c r="C7" s="25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28" t="s">
        <v>17</v>
      </c>
      <c r="B8" s="30">
        <v>350.0</v>
      </c>
      <c r="C8" s="34">
        <f t="shared" ref="C8:C14" si="1">B8*3</f>
        <v>1050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28" t="s">
        <v>20</v>
      </c>
      <c r="B9" s="35">
        <v>100.0</v>
      </c>
      <c r="C9" s="34">
        <f t="shared" si="1"/>
        <v>300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28" t="s">
        <v>21</v>
      </c>
      <c r="B10" s="35">
        <v>60.0</v>
      </c>
      <c r="C10" s="34">
        <f t="shared" si="1"/>
        <v>180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28" t="s">
        <v>22</v>
      </c>
      <c r="B11" s="35">
        <v>250.0</v>
      </c>
      <c r="C11" s="34">
        <f t="shared" si="1"/>
        <v>750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28" t="s">
        <v>24</v>
      </c>
      <c r="B12" s="35">
        <v>150.0</v>
      </c>
      <c r="C12" s="34">
        <f t="shared" si="1"/>
        <v>450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28"/>
      <c r="B13" s="35"/>
      <c r="C13" s="34">
        <f t="shared" si="1"/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0" t="s">
        <v>29</v>
      </c>
      <c r="B14" s="42">
        <f>SUM(B8:B13)</f>
        <v>910</v>
      </c>
      <c r="C14" s="42">
        <f t="shared" si="1"/>
        <v>2730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24" t="s">
        <v>32</v>
      </c>
      <c r="B15" s="25" t="s">
        <v>16</v>
      </c>
      <c r="C15" s="25" t="s">
        <v>16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28" t="s">
        <v>34</v>
      </c>
      <c r="B16" s="35">
        <v>800.0</v>
      </c>
      <c r="C16" s="34">
        <f t="shared" ref="C16:C23" si="2">B16*3</f>
        <v>2400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28" t="s">
        <v>39</v>
      </c>
      <c r="B17" s="35">
        <v>0.0</v>
      </c>
      <c r="C17" s="34">
        <f t="shared" si="2"/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28" t="s">
        <v>40</v>
      </c>
      <c r="B18" s="35">
        <v>0.0</v>
      </c>
      <c r="C18" s="34">
        <f t="shared" si="2"/>
        <v>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28" t="s">
        <v>41</v>
      </c>
      <c r="B19" s="35">
        <v>100.0</v>
      </c>
      <c r="C19" s="34">
        <f t="shared" si="2"/>
        <v>300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28"/>
      <c r="B20" s="35"/>
      <c r="C20" s="34">
        <f t="shared" si="2"/>
        <v>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28"/>
      <c r="B21" s="35"/>
      <c r="C21" s="34">
        <f t="shared" si="2"/>
        <v>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28"/>
      <c r="B22" s="35"/>
      <c r="C22" s="34">
        <f t="shared" si="2"/>
        <v>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0" t="s">
        <v>29</v>
      </c>
      <c r="B23" s="42">
        <f>SUM(B16:B22)</f>
        <v>900</v>
      </c>
      <c r="C23" s="42">
        <f t="shared" si="2"/>
        <v>2700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24" t="s">
        <v>46</v>
      </c>
      <c r="B24" s="25" t="s">
        <v>16</v>
      </c>
      <c r="C24" s="25" t="s">
        <v>16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28" t="s">
        <v>47</v>
      </c>
      <c r="B25" s="35">
        <v>450.0</v>
      </c>
      <c r="C25" s="34">
        <f t="shared" ref="C25:C29" si="3">B25*3</f>
        <v>1350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28" t="s">
        <v>48</v>
      </c>
      <c r="B26" s="35">
        <v>0.0</v>
      </c>
      <c r="C26" s="34">
        <f t="shared" si="3"/>
        <v>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28" t="s">
        <v>49</v>
      </c>
      <c r="B27" s="35">
        <v>0.0</v>
      </c>
      <c r="C27" s="34">
        <f t="shared" si="3"/>
        <v>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28" t="s">
        <v>50</v>
      </c>
      <c r="B28" s="35">
        <v>0.0</v>
      </c>
      <c r="C28" s="34">
        <f t="shared" si="3"/>
        <v>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0" t="s">
        <v>29</v>
      </c>
      <c r="B29" s="42">
        <f>SUM(B25:B28)</f>
        <v>450</v>
      </c>
      <c r="C29" s="42">
        <f t="shared" si="3"/>
        <v>1350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24" t="s">
        <v>52</v>
      </c>
      <c r="B30" s="25" t="s">
        <v>16</v>
      </c>
      <c r="C30" s="25" t="s">
        <v>16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8" t="s">
        <v>53</v>
      </c>
      <c r="B31" s="35">
        <v>200.0</v>
      </c>
      <c r="C31" s="34">
        <f t="shared" ref="C31:C33" si="4">B31*3</f>
        <v>600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28" t="s">
        <v>55</v>
      </c>
      <c r="B32" s="35">
        <v>0.0</v>
      </c>
      <c r="C32" s="34">
        <f t="shared" si="4"/>
        <v>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0" t="s">
        <v>29</v>
      </c>
      <c r="B33" s="42">
        <f>SUM(B31:B32)</f>
        <v>200</v>
      </c>
      <c r="C33" s="42">
        <f t="shared" si="4"/>
        <v>600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24" t="s">
        <v>63</v>
      </c>
      <c r="B34" s="25" t="s">
        <v>16</v>
      </c>
      <c r="C34" s="25" t="s">
        <v>16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28" t="s">
        <v>64</v>
      </c>
      <c r="B35" s="35">
        <v>0.0</v>
      </c>
      <c r="C35" s="34">
        <f t="shared" ref="C35:C41" si="5">B35*3</f>
        <v>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28" t="s">
        <v>66</v>
      </c>
      <c r="B36" s="35">
        <v>30.0</v>
      </c>
      <c r="C36" s="34">
        <f t="shared" si="5"/>
        <v>90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28" t="s">
        <v>67</v>
      </c>
      <c r="B37" s="35">
        <v>15.0</v>
      </c>
      <c r="C37" s="34">
        <f t="shared" si="5"/>
        <v>45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28" t="s">
        <v>69</v>
      </c>
      <c r="B38" s="35">
        <v>10.0</v>
      </c>
      <c r="C38" s="34">
        <f t="shared" si="5"/>
        <v>30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28"/>
      <c r="B39" s="35"/>
      <c r="C39" s="34">
        <f t="shared" si="5"/>
        <v>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28"/>
      <c r="B40" s="35"/>
      <c r="C40" s="34">
        <f t="shared" si="5"/>
        <v>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0" t="s">
        <v>29</v>
      </c>
      <c r="B41" s="42">
        <f>SUM(B35:B40)</f>
        <v>55</v>
      </c>
      <c r="C41" s="42">
        <f t="shared" si="5"/>
        <v>165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4" t="s">
        <v>75</v>
      </c>
      <c r="B42" s="25" t="s">
        <v>16</v>
      </c>
      <c r="C42" s="25" t="s">
        <v>16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28" t="s">
        <v>77</v>
      </c>
      <c r="B43" s="35">
        <v>0.0</v>
      </c>
      <c r="C43" s="34">
        <f t="shared" ref="C43:C46" si="6">B43*3</f>
        <v>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28" t="s">
        <v>79</v>
      </c>
      <c r="B44" s="35">
        <v>0.0</v>
      </c>
      <c r="C44" s="34">
        <f t="shared" si="6"/>
        <v>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28" t="s">
        <v>81</v>
      </c>
      <c r="B45" s="35">
        <v>0.0</v>
      </c>
      <c r="C45" s="34">
        <f t="shared" si="6"/>
        <v>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0" t="s">
        <v>29</v>
      </c>
      <c r="B46" s="42">
        <f>SUM(B43:B45)</f>
        <v>0</v>
      </c>
      <c r="C46" s="42">
        <f t="shared" si="6"/>
        <v>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24" t="s">
        <v>85</v>
      </c>
      <c r="B47" s="25" t="s">
        <v>16</v>
      </c>
      <c r="C47" s="25" t="s">
        <v>16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28" t="s">
        <v>87</v>
      </c>
      <c r="B48" s="35">
        <v>100.0</v>
      </c>
      <c r="C48" s="34">
        <f t="shared" ref="C48:C50" si="7">B48*3</f>
        <v>300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28" t="s">
        <v>92</v>
      </c>
      <c r="B49" s="35">
        <v>50.0</v>
      </c>
      <c r="C49" s="34">
        <f t="shared" si="7"/>
        <v>150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28" t="s">
        <v>94</v>
      </c>
      <c r="B50" s="35">
        <v>100.0</v>
      </c>
      <c r="C50" s="34">
        <f t="shared" si="7"/>
        <v>300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76" t="s">
        <v>29</v>
      </c>
      <c r="B51" s="77">
        <f t="shared" ref="B51:C51" si="8">SUM(B48:B50)</f>
        <v>250</v>
      </c>
      <c r="C51" s="77">
        <f t="shared" si="8"/>
        <v>750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79" t="s">
        <v>99</v>
      </c>
      <c r="B52" s="82">
        <f>B51+B46+B41+B33+B29+B23+B14</f>
        <v>2765</v>
      </c>
      <c r="C52" s="82">
        <f>C14+C23+C29+C33+C41+C46+C51</f>
        <v>8295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85" t="s">
        <v>101</v>
      </c>
      <c r="B53" s="85">
        <v>0.0</v>
      </c>
      <c r="C53" s="85">
        <f>B53*3</f>
        <v>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88" t="s">
        <v>102</v>
      </c>
      <c r="B54" s="90">
        <f>B52-B53</f>
        <v>2765</v>
      </c>
      <c r="C54" s="90">
        <f>(B52*3)-C53</f>
        <v>8295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92">
        <f>MULTIPLY(B54,12)</f>
        <v>33180</v>
      </c>
      <c r="C55" s="92">
        <f>MULTIPLY(C54,4)</f>
        <v>33180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27.0"/>
    <col customWidth="1" min="3" max="3" width="10.13"/>
    <col customWidth="1" min="4" max="4" width="9.88"/>
    <col customWidth="1" min="5" max="5" width="10.0"/>
    <col customWidth="1" min="6" max="6" width="10.88"/>
    <col customWidth="1" min="7" max="7" width="9.63"/>
    <col customWidth="1" min="8" max="8" width="8.88"/>
    <col customWidth="1" min="9" max="9" width="9.88"/>
    <col customWidth="1" min="10" max="10" width="9.13"/>
    <col customWidth="1" min="11" max="11" width="10.0"/>
    <col customWidth="1" min="12" max="12" width="9.5"/>
    <col customWidth="1" min="13" max="13" width="10.38"/>
    <col customWidth="1" min="14" max="14" width="11.5"/>
    <col customWidth="1" min="15" max="26" width="10.0"/>
  </cols>
  <sheetData>
    <row r="1" ht="13.5" customHeight="1">
      <c r="A1" s="156"/>
      <c r="B1" s="15"/>
      <c r="C1" s="15"/>
      <c r="D1" s="15"/>
      <c r="E1" s="15"/>
      <c r="F1" s="15"/>
      <c r="G1" s="15"/>
      <c r="H1" s="15"/>
      <c r="I1" s="6"/>
      <c r="J1" s="157"/>
      <c r="K1" s="157"/>
      <c r="L1" s="157"/>
      <c r="M1" s="6" t="s">
        <v>114</v>
      </c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</row>
    <row r="2" ht="15.0" customHeight="1">
      <c r="A2" s="159" t="s">
        <v>115</v>
      </c>
      <c r="B2" s="15"/>
      <c r="C2" s="15"/>
      <c r="D2" s="15"/>
      <c r="E2" s="160"/>
      <c r="F2" s="15"/>
      <c r="G2" s="15"/>
      <c r="H2" s="15"/>
      <c r="I2" s="161"/>
      <c r="J2" s="15"/>
      <c r="K2" s="36"/>
      <c r="L2" s="15"/>
      <c r="M2" s="15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ht="18.0" customHeight="1">
      <c r="A3" s="162" t="s">
        <v>116</v>
      </c>
      <c r="B3" s="15" t="s">
        <v>117</v>
      </c>
      <c r="C3" s="158"/>
      <c r="D3" s="15"/>
      <c r="E3" s="15"/>
      <c r="F3" s="158"/>
      <c r="G3" s="158"/>
      <c r="H3" s="158"/>
      <c r="I3" s="15"/>
      <c r="J3" s="20"/>
      <c r="K3" s="20"/>
      <c r="L3" s="20"/>
      <c r="M3" s="20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 ht="17.25" customHeight="1">
      <c r="A4" s="163" t="s">
        <v>118</v>
      </c>
      <c r="B4" s="164"/>
      <c r="C4" s="164"/>
      <c r="D4" s="165"/>
      <c r="E4" s="15"/>
      <c r="F4" s="164"/>
      <c r="G4" s="164"/>
      <c r="H4" s="164"/>
      <c r="I4" s="20"/>
      <c r="J4" s="20"/>
      <c r="K4" s="15"/>
      <c r="L4" s="15"/>
      <c r="M4" s="20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3.5" customHeight="1">
      <c r="A5" s="163" t="s">
        <v>119</v>
      </c>
      <c r="B5" s="158"/>
      <c r="C5" s="158"/>
      <c r="D5" s="15"/>
      <c r="E5" s="15"/>
      <c r="F5" s="158"/>
      <c r="G5" s="158"/>
      <c r="H5" s="158"/>
      <c r="I5" s="15"/>
      <c r="J5" s="20"/>
      <c r="K5" s="157"/>
      <c r="L5" s="157"/>
      <c r="M5" s="20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 ht="14.25" customHeight="1">
      <c r="A6" s="156"/>
      <c r="B6" s="15"/>
      <c r="C6" s="15"/>
      <c r="D6" s="15"/>
      <c r="E6" s="15"/>
      <c r="F6" s="15"/>
      <c r="G6" s="15"/>
      <c r="H6" s="15"/>
      <c r="I6" s="15"/>
      <c r="J6" s="157"/>
      <c r="K6" s="157"/>
      <c r="L6" s="157"/>
      <c r="M6" s="20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</row>
    <row r="7" ht="14.25" customHeight="1">
      <c r="A7" s="166"/>
      <c r="B7" s="167"/>
      <c r="C7" s="168"/>
      <c r="D7" s="168"/>
      <c r="E7" s="168"/>
      <c r="F7" s="168"/>
      <c r="G7" s="168" t="s">
        <v>120</v>
      </c>
      <c r="H7" s="168"/>
      <c r="I7" s="168"/>
      <c r="J7" s="168"/>
      <c r="K7" s="168"/>
      <c r="L7" s="168"/>
      <c r="M7" s="169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 ht="14.25" customHeight="1">
      <c r="A8" s="171" t="s">
        <v>54</v>
      </c>
      <c r="B8" s="58">
        <v>1.0</v>
      </c>
      <c r="C8" s="58">
        <v>2.0</v>
      </c>
      <c r="D8" s="58">
        <v>3.0</v>
      </c>
      <c r="E8" s="58">
        <v>4.0</v>
      </c>
      <c r="F8" s="58">
        <v>5.0</v>
      </c>
      <c r="G8" s="58">
        <v>6.0</v>
      </c>
      <c r="H8" s="58">
        <v>7.0</v>
      </c>
      <c r="I8" s="58">
        <v>8.0</v>
      </c>
      <c r="J8" s="58">
        <v>9.0</v>
      </c>
      <c r="K8" s="58">
        <v>10.0</v>
      </c>
      <c r="L8" s="58">
        <v>11.0</v>
      </c>
      <c r="M8" s="58">
        <v>12.0</v>
      </c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 ht="16.5" customHeight="1">
      <c r="A9" s="173" t="s">
        <v>121</v>
      </c>
      <c r="B9" s="174">
        <v>8000.0</v>
      </c>
      <c r="C9" s="175">
        <v>9000.0</v>
      </c>
      <c r="D9" s="176">
        <v>10000.0</v>
      </c>
      <c r="E9" s="174">
        <v>11000.0</v>
      </c>
      <c r="F9" s="175">
        <v>12000.0</v>
      </c>
      <c r="G9" s="176">
        <v>12500.0</v>
      </c>
      <c r="H9" s="174">
        <v>13000.0</v>
      </c>
      <c r="I9" s="175">
        <v>13500.0</v>
      </c>
      <c r="J9" s="176">
        <v>14000.0</v>
      </c>
      <c r="K9" s="174">
        <v>14500.0</v>
      </c>
      <c r="L9" s="175">
        <v>15000.0</v>
      </c>
      <c r="M9" s="176">
        <v>22010.0</v>
      </c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5.75" customHeight="1">
      <c r="A10" s="178" t="s">
        <v>122</v>
      </c>
      <c r="B10" s="179">
        <v>0.0</v>
      </c>
      <c r="C10" s="180">
        <v>0.0</v>
      </c>
      <c r="D10" s="181">
        <v>0.0</v>
      </c>
      <c r="E10" s="179">
        <v>0.0</v>
      </c>
      <c r="F10" s="180">
        <v>0.0</v>
      </c>
      <c r="G10" s="181">
        <v>0.0</v>
      </c>
      <c r="H10" s="179">
        <v>0.0</v>
      </c>
      <c r="I10" s="180">
        <v>0.0</v>
      </c>
      <c r="J10" s="181">
        <v>0.0</v>
      </c>
      <c r="K10" s="179">
        <v>0.0</v>
      </c>
      <c r="L10" s="180">
        <v>0.0</v>
      </c>
      <c r="M10" s="181">
        <v>0.0</v>
      </c>
      <c r="N10" s="177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 ht="13.5" customHeight="1">
      <c r="A11" s="178" t="s">
        <v>123</v>
      </c>
      <c r="B11" s="179">
        <v>0.0</v>
      </c>
      <c r="C11" s="180">
        <v>0.0</v>
      </c>
      <c r="D11" s="181">
        <v>0.0</v>
      </c>
      <c r="E11" s="179">
        <v>0.0</v>
      </c>
      <c r="F11" s="180">
        <v>0.0</v>
      </c>
      <c r="G11" s="181">
        <v>0.0</v>
      </c>
      <c r="H11" s="179">
        <v>0.0</v>
      </c>
      <c r="I11" s="180">
        <v>0.0</v>
      </c>
      <c r="J11" s="181">
        <v>0.0</v>
      </c>
      <c r="K11" s="179">
        <v>0.0</v>
      </c>
      <c r="L11" s="180">
        <v>0.0</v>
      </c>
      <c r="M11" s="181">
        <v>0.0</v>
      </c>
      <c r="N11" s="177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 ht="13.5" customHeight="1">
      <c r="A12" s="173" t="s">
        <v>124</v>
      </c>
      <c r="B12" s="182">
        <v>0.0</v>
      </c>
      <c r="C12" s="183">
        <v>0.0</v>
      </c>
      <c r="D12" s="184">
        <v>0.0</v>
      </c>
      <c r="E12" s="182">
        <v>0.0</v>
      </c>
      <c r="F12" s="183">
        <v>0.0</v>
      </c>
      <c r="G12" s="184">
        <v>0.0</v>
      </c>
      <c r="H12" s="182">
        <v>0.0</v>
      </c>
      <c r="I12" s="183">
        <v>0.0</v>
      </c>
      <c r="J12" s="184">
        <v>0.0</v>
      </c>
      <c r="K12" s="182">
        <v>0.0</v>
      </c>
      <c r="L12" s="183">
        <v>0.0</v>
      </c>
      <c r="M12" s="184">
        <v>0.0</v>
      </c>
      <c r="N12" s="177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 ht="13.5" customHeight="1">
      <c r="A13" s="178" t="s">
        <v>125</v>
      </c>
      <c r="B13" s="179">
        <v>0.0</v>
      </c>
      <c r="C13" s="180">
        <v>0.0</v>
      </c>
      <c r="D13" s="181">
        <v>0.0</v>
      </c>
      <c r="E13" s="179">
        <v>0.0</v>
      </c>
      <c r="F13" s="180">
        <v>0.0</v>
      </c>
      <c r="G13" s="181">
        <v>0.0</v>
      </c>
      <c r="H13" s="179">
        <v>0.0</v>
      </c>
      <c r="I13" s="180">
        <v>0.0</v>
      </c>
      <c r="J13" s="181">
        <v>0.0</v>
      </c>
      <c r="K13" s="179">
        <v>0.0</v>
      </c>
      <c r="L13" s="180">
        <v>0.0</v>
      </c>
      <c r="M13" s="181">
        <v>0.0</v>
      </c>
      <c r="N13" s="177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</row>
    <row r="14" ht="13.5" customHeight="1">
      <c r="A14" s="178" t="s">
        <v>126</v>
      </c>
      <c r="B14" s="179">
        <v>0.0</v>
      </c>
      <c r="C14" s="180">
        <v>0.0</v>
      </c>
      <c r="D14" s="181">
        <v>0.0</v>
      </c>
      <c r="E14" s="179">
        <v>0.0</v>
      </c>
      <c r="F14" s="180">
        <v>0.0</v>
      </c>
      <c r="G14" s="181">
        <v>0.0</v>
      </c>
      <c r="H14" s="179">
        <v>0.0</v>
      </c>
      <c r="I14" s="180">
        <v>0.0</v>
      </c>
      <c r="J14" s="181">
        <v>0.0</v>
      </c>
      <c r="K14" s="179">
        <v>0.0</v>
      </c>
      <c r="L14" s="180">
        <v>0.0</v>
      </c>
      <c r="M14" s="181">
        <v>0.0</v>
      </c>
      <c r="N14" s="177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</row>
    <row r="15" ht="13.5" customHeight="1">
      <c r="A15" s="173" t="s">
        <v>127</v>
      </c>
      <c r="B15" s="182">
        <v>0.0</v>
      </c>
      <c r="C15" s="183">
        <v>0.0</v>
      </c>
      <c r="D15" s="184">
        <v>0.0</v>
      </c>
      <c r="E15" s="182">
        <v>0.0</v>
      </c>
      <c r="F15" s="183">
        <v>0.0</v>
      </c>
      <c r="G15" s="184">
        <v>0.0</v>
      </c>
      <c r="H15" s="182">
        <v>0.0</v>
      </c>
      <c r="I15" s="183">
        <v>0.0</v>
      </c>
      <c r="J15" s="184">
        <v>0.0</v>
      </c>
      <c r="K15" s="182">
        <v>0.0</v>
      </c>
      <c r="L15" s="183">
        <v>0.0</v>
      </c>
      <c r="M15" s="184">
        <v>0.0</v>
      </c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</row>
    <row r="16" ht="13.5" customHeight="1">
      <c r="A16" s="178" t="s">
        <v>128</v>
      </c>
      <c r="B16" s="179">
        <v>0.0</v>
      </c>
      <c r="C16" s="180">
        <v>0.0</v>
      </c>
      <c r="D16" s="181">
        <v>0.0</v>
      </c>
      <c r="E16" s="179">
        <v>0.0</v>
      </c>
      <c r="F16" s="180">
        <v>0.0</v>
      </c>
      <c r="G16" s="181">
        <v>0.0</v>
      </c>
      <c r="H16" s="179">
        <v>0.0</v>
      </c>
      <c r="I16" s="180">
        <v>0.0</v>
      </c>
      <c r="J16" s="181">
        <v>0.0</v>
      </c>
      <c r="K16" s="179">
        <v>0.0</v>
      </c>
      <c r="L16" s="180">
        <v>0.0</v>
      </c>
      <c r="M16" s="181">
        <v>0.0</v>
      </c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</row>
    <row r="17" ht="13.5" customHeight="1">
      <c r="A17" s="178" t="s">
        <v>129</v>
      </c>
      <c r="B17" s="179">
        <v>0.0</v>
      </c>
      <c r="C17" s="180">
        <v>0.0</v>
      </c>
      <c r="D17" s="181">
        <v>0.0</v>
      </c>
      <c r="E17" s="179">
        <v>0.0</v>
      </c>
      <c r="F17" s="180">
        <v>0.0</v>
      </c>
      <c r="G17" s="181">
        <v>0.0</v>
      </c>
      <c r="H17" s="179">
        <v>0.0</v>
      </c>
      <c r="I17" s="180">
        <v>0.0</v>
      </c>
      <c r="J17" s="181">
        <v>0.0</v>
      </c>
      <c r="K17" s="179">
        <v>0.0</v>
      </c>
      <c r="L17" s="180">
        <v>0.0</v>
      </c>
      <c r="M17" s="181">
        <v>0.0</v>
      </c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</row>
    <row r="18" ht="13.5" customHeight="1">
      <c r="A18" s="185" t="s">
        <v>130</v>
      </c>
      <c r="B18" s="186">
        <f t="shared" ref="B18:M18" si="1">(B9+B12+B15)</f>
        <v>8000</v>
      </c>
      <c r="C18" s="187">
        <f t="shared" si="1"/>
        <v>9000</v>
      </c>
      <c r="D18" s="188">
        <f t="shared" si="1"/>
        <v>10000</v>
      </c>
      <c r="E18" s="186">
        <f t="shared" si="1"/>
        <v>11000</v>
      </c>
      <c r="F18" s="187">
        <f t="shared" si="1"/>
        <v>12000</v>
      </c>
      <c r="G18" s="188">
        <f t="shared" si="1"/>
        <v>12500</v>
      </c>
      <c r="H18" s="186">
        <f t="shared" si="1"/>
        <v>13000</v>
      </c>
      <c r="I18" s="187">
        <f t="shared" si="1"/>
        <v>13500</v>
      </c>
      <c r="J18" s="188">
        <f t="shared" si="1"/>
        <v>14000</v>
      </c>
      <c r="K18" s="186">
        <f t="shared" si="1"/>
        <v>14500</v>
      </c>
      <c r="L18" s="187">
        <f t="shared" si="1"/>
        <v>15000</v>
      </c>
      <c r="M18" s="188">
        <f t="shared" si="1"/>
        <v>22010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</row>
    <row r="19" ht="13.5" customHeight="1">
      <c r="A19" s="185" t="s">
        <v>131</v>
      </c>
      <c r="B19" s="186">
        <f t="shared" ref="B19:M19" si="2">B18-(B10+B11+B13+B14+B16+B17)</f>
        <v>8000</v>
      </c>
      <c r="C19" s="187">
        <f t="shared" si="2"/>
        <v>9000</v>
      </c>
      <c r="D19" s="188">
        <f t="shared" si="2"/>
        <v>10000</v>
      </c>
      <c r="E19" s="188">
        <f t="shared" si="2"/>
        <v>11000</v>
      </c>
      <c r="F19" s="187">
        <f t="shared" si="2"/>
        <v>12000</v>
      </c>
      <c r="G19" s="188">
        <f t="shared" si="2"/>
        <v>12500</v>
      </c>
      <c r="H19" s="186">
        <f t="shared" si="2"/>
        <v>13000</v>
      </c>
      <c r="I19" s="187">
        <f t="shared" si="2"/>
        <v>13500</v>
      </c>
      <c r="J19" s="188">
        <f t="shared" si="2"/>
        <v>14000</v>
      </c>
      <c r="K19" s="186">
        <f t="shared" si="2"/>
        <v>14500</v>
      </c>
      <c r="L19" s="187">
        <f t="shared" si="2"/>
        <v>15000</v>
      </c>
      <c r="M19" s="188">
        <f t="shared" si="2"/>
        <v>22010</v>
      </c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</row>
    <row r="20" ht="13.5" customHeight="1">
      <c r="A20" s="189" t="s">
        <v>132</v>
      </c>
      <c r="B20" s="190">
        <f>'betr. Aufw, Anl.2, monatl.'!B28</f>
        <v>1410</v>
      </c>
      <c r="C20" s="191">
        <f>'betr. Aufw, Anl.2, monatl.'!C28</f>
        <v>1410</v>
      </c>
      <c r="D20" s="192">
        <f>'betr. Aufw, Anl.2, monatl.'!D28</f>
        <v>1410</v>
      </c>
      <c r="E20" s="190">
        <f>'betr. Aufw, Anl.2, monatl.'!E28</f>
        <v>1410</v>
      </c>
      <c r="F20" s="191">
        <f>'betr. Aufw, Anl.2, monatl.'!F28</f>
        <v>1410</v>
      </c>
      <c r="G20" s="192">
        <f>'betr. Aufw, Anl.2, monatl.'!G28</f>
        <v>1410</v>
      </c>
      <c r="H20" s="190">
        <f>'betr. Aufw, Anl.2, monatl.'!H28</f>
        <v>1410</v>
      </c>
      <c r="I20" s="191">
        <f>'betr. Aufw, Anl.2, monatl.'!I28</f>
        <v>1410</v>
      </c>
      <c r="J20" s="192">
        <f>'betr. Aufw, Anl.2, monatl.'!J28</f>
        <v>1410</v>
      </c>
      <c r="K20" s="190">
        <f>'betr. Aufw, Anl.2, monatl.'!K28</f>
        <v>1410</v>
      </c>
      <c r="L20" s="191">
        <f>'betr. Aufw, Anl.2, monatl.'!L28</f>
        <v>1410</v>
      </c>
      <c r="M20" s="192">
        <f>'betr. Aufw, Anl.2, monatl.'!M28</f>
        <v>1410</v>
      </c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ht="13.5" customHeight="1">
      <c r="A21" s="178" t="s">
        <v>133</v>
      </c>
      <c r="B21" s="179">
        <v>0.0</v>
      </c>
      <c r="C21" s="180">
        <v>0.0</v>
      </c>
      <c r="D21" s="181">
        <v>0.0</v>
      </c>
      <c r="E21" s="179">
        <v>0.0</v>
      </c>
      <c r="F21" s="180">
        <v>0.0</v>
      </c>
      <c r="G21" s="181">
        <v>0.0</v>
      </c>
      <c r="H21" s="179">
        <v>0.0</v>
      </c>
      <c r="I21" s="180">
        <v>0.0</v>
      </c>
      <c r="J21" s="181">
        <v>0.0</v>
      </c>
      <c r="K21" s="179">
        <v>0.0</v>
      </c>
      <c r="L21" s="180">
        <v>0.0</v>
      </c>
      <c r="M21" s="181">
        <v>0.0</v>
      </c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</row>
    <row r="22" ht="13.5" customHeight="1">
      <c r="A22" s="178" t="s">
        <v>134</v>
      </c>
      <c r="B22" s="179">
        <v>0.0</v>
      </c>
      <c r="C22" s="180">
        <v>0.0</v>
      </c>
      <c r="D22" s="181">
        <v>0.0</v>
      </c>
      <c r="E22" s="179">
        <v>0.0</v>
      </c>
      <c r="F22" s="180">
        <v>0.0</v>
      </c>
      <c r="G22" s="181">
        <v>0.0</v>
      </c>
      <c r="H22" s="179">
        <v>0.0</v>
      </c>
      <c r="I22" s="180">
        <v>0.0</v>
      </c>
      <c r="J22" s="181">
        <v>0.0</v>
      </c>
      <c r="K22" s="179">
        <v>0.0</v>
      </c>
      <c r="L22" s="180">
        <v>0.0</v>
      </c>
      <c r="M22" s="181">
        <v>0.0</v>
      </c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</row>
    <row r="23" ht="14.25" customHeight="1">
      <c r="A23" s="193" t="s">
        <v>135</v>
      </c>
      <c r="B23" s="179">
        <v>0.0</v>
      </c>
      <c r="C23" s="180">
        <v>0.0</v>
      </c>
      <c r="D23" s="181">
        <v>0.0</v>
      </c>
      <c r="E23" s="179">
        <v>0.0</v>
      </c>
      <c r="F23" s="180">
        <v>0.0</v>
      </c>
      <c r="G23" s="181">
        <v>0.0</v>
      </c>
      <c r="H23" s="179">
        <v>0.0</v>
      </c>
      <c r="I23" s="180">
        <v>0.0</v>
      </c>
      <c r="J23" s="181">
        <v>0.0</v>
      </c>
      <c r="K23" s="179">
        <v>0.0</v>
      </c>
      <c r="L23" s="180">
        <v>0.0</v>
      </c>
      <c r="M23" s="181">
        <v>0.0</v>
      </c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 ht="14.25" customHeight="1">
      <c r="A24" s="194" t="s">
        <v>136</v>
      </c>
      <c r="B24" s="195">
        <f t="shared" ref="B24:M24" si="3">B19-SUM(B20:B22)+B23</f>
        <v>6590</v>
      </c>
      <c r="C24" s="196">
        <f t="shared" si="3"/>
        <v>7590</v>
      </c>
      <c r="D24" s="197">
        <f t="shared" si="3"/>
        <v>8590</v>
      </c>
      <c r="E24" s="195">
        <f t="shared" si="3"/>
        <v>9590</v>
      </c>
      <c r="F24" s="196">
        <f t="shared" si="3"/>
        <v>10590</v>
      </c>
      <c r="G24" s="197">
        <f t="shared" si="3"/>
        <v>11090</v>
      </c>
      <c r="H24" s="195">
        <f t="shared" si="3"/>
        <v>11590</v>
      </c>
      <c r="I24" s="196">
        <f t="shared" si="3"/>
        <v>12090</v>
      </c>
      <c r="J24" s="197">
        <f t="shared" si="3"/>
        <v>12590</v>
      </c>
      <c r="K24" s="195">
        <f t="shared" si="3"/>
        <v>13090</v>
      </c>
      <c r="L24" s="196">
        <f t="shared" si="3"/>
        <v>13590</v>
      </c>
      <c r="M24" s="197">
        <f t="shared" si="3"/>
        <v>20600</v>
      </c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 ht="13.5" customHeight="1">
      <c r="A25" s="198" t="s">
        <v>137</v>
      </c>
      <c r="B25" s="179">
        <v>0.0</v>
      </c>
      <c r="C25" s="180">
        <v>0.0</v>
      </c>
      <c r="D25" s="181">
        <v>0.0</v>
      </c>
      <c r="E25" s="179">
        <v>0.0</v>
      </c>
      <c r="F25" s="180">
        <v>0.0</v>
      </c>
      <c r="G25" s="181">
        <v>0.0</v>
      </c>
      <c r="H25" s="179">
        <v>0.0</v>
      </c>
      <c r="I25" s="180">
        <v>0.0</v>
      </c>
      <c r="J25" s="181">
        <v>0.0</v>
      </c>
      <c r="K25" s="190">
        <v>0.0</v>
      </c>
      <c r="L25" s="191">
        <v>0.0</v>
      </c>
      <c r="M25" s="192">
        <v>0.0</v>
      </c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 ht="13.5" customHeight="1">
      <c r="A26" s="189" t="s">
        <v>138</v>
      </c>
      <c r="B26" s="190">
        <f>('priv. Aufwendungen, Anl. 3'!B54)</f>
        <v>2765</v>
      </c>
      <c r="C26" s="191">
        <f>('priv. Aufwendungen, Anl. 3'!B54)</f>
        <v>2765</v>
      </c>
      <c r="D26" s="192">
        <f>('priv. Aufwendungen, Anl. 3'!B54)</f>
        <v>2765</v>
      </c>
      <c r="E26" s="190">
        <f>('priv. Aufwendungen, Anl. 3'!B54)</f>
        <v>2765</v>
      </c>
      <c r="F26" s="191">
        <f>('priv. Aufwendungen, Anl. 3'!B54)</f>
        <v>2765</v>
      </c>
      <c r="G26" s="192">
        <f>('priv. Aufwendungen, Anl. 3'!B54)</f>
        <v>2765</v>
      </c>
      <c r="H26" s="190">
        <f>('priv. Aufwendungen, Anl. 3'!B54)</f>
        <v>2765</v>
      </c>
      <c r="I26" s="191">
        <f>('priv. Aufwendungen, Anl. 3'!B54)</f>
        <v>2765</v>
      </c>
      <c r="J26" s="192">
        <f>('priv. Aufwendungen, Anl. 3'!B54)</f>
        <v>2765</v>
      </c>
      <c r="K26" s="190">
        <f>('priv. Aufwendungen, Anl. 3'!B54)</f>
        <v>2765</v>
      </c>
      <c r="L26" s="191">
        <f>('priv. Aufwendungen, Anl. 3'!B54)</f>
        <v>2765</v>
      </c>
      <c r="M26" s="192">
        <f>('priv. Aufwendungen, Anl. 3'!B54)</f>
        <v>2765</v>
      </c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ht="13.5" customHeight="1">
      <c r="A27" s="199" t="s">
        <v>139</v>
      </c>
      <c r="B27" s="200">
        <f t="shared" ref="B27:M27" si="4">B24+B25-B26</f>
        <v>3825</v>
      </c>
      <c r="C27" s="201">
        <f t="shared" si="4"/>
        <v>4825</v>
      </c>
      <c r="D27" s="202">
        <f t="shared" si="4"/>
        <v>5825</v>
      </c>
      <c r="E27" s="200">
        <f t="shared" si="4"/>
        <v>6825</v>
      </c>
      <c r="F27" s="201">
        <f t="shared" si="4"/>
        <v>7825</v>
      </c>
      <c r="G27" s="202">
        <f t="shared" si="4"/>
        <v>8325</v>
      </c>
      <c r="H27" s="200">
        <f t="shared" si="4"/>
        <v>8825</v>
      </c>
      <c r="I27" s="201">
        <f t="shared" si="4"/>
        <v>9325</v>
      </c>
      <c r="J27" s="202">
        <f t="shared" si="4"/>
        <v>9825</v>
      </c>
      <c r="K27" s="200">
        <f t="shared" si="4"/>
        <v>10325</v>
      </c>
      <c r="L27" s="201">
        <f t="shared" si="4"/>
        <v>10825</v>
      </c>
      <c r="M27" s="202">
        <f t="shared" si="4"/>
        <v>17835</v>
      </c>
      <c r="N27" s="203">
        <f>sum(B27:M27)</f>
        <v>104410</v>
      </c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ht="13.5" customHeight="1">
      <c r="A28" s="189"/>
      <c r="B28" s="190"/>
      <c r="C28" s="191"/>
      <c r="D28" s="192"/>
      <c r="E28" s="190"/>
      <c r="F28" s="191"/>
      <c r="G28" s="192"/>
      <c r="H28" s="190"/>
      <c r="I28" s="191"/>
      <c r="J28" s="192"/>
      <c r="K28" s="190"/>
      <c r="L28" s="191"/>
      <c r="M28" s="192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 ht="166.5" customHeight="1">
      <c r="A29" s="204" t="s">
        <v>140</v>
      </c>
      <c r="B29" s="205" t="s">
        <v>141</v>
      </c>
      <c r="C29" s="206"/>
      <c r="D29" s="207"/>
      <c r="E29" s="205"/>
      <c r="F29" s="206"/>
      <c r="G29" s="207"/>
      <c r="H29" s="205"/>
      <c r="I29" s="206"/>
      <c r="J29" s="207"/>
      <c r="K29" s="205"/>
      <c r="L29" s="206"/>
      <c r="M29" s="207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13.5" customHeight="1">
      <c r="A30" s="208"/>
      <c r="B30" s="1"/>
      <c r="C30" s="1"/>
      <c r="D30" s="1"/>
      <c r="E30" s="1"/>
      <c r="F30" s="1"/>
      <c r="G30" s="1"/>
      <c r="H30" s="1"/>
      <c r="I30" s="1"/>
      <c r="J30" s="209"/>
      <c r="K30" s="209"/>
      <c r="L30" s="209"/>
      <c r="M30" s="209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 ht="12.75" customHeight="1">
      <c r="A31" s="208"/>
      <c r="B31" s="1"/>
      <c r="C31" s="1"/>
      <c r="D31" s="1"/>
      <c r="E31" s="1"/>
      <c r="F31" s="1"/>
      <c r="G31" s="1"/>
      <c r="H31" s="1"/>
      <c r="I31" s="1"/>
      <c r="J31" s="209"/>
      <c r="K31" s="209"/>
      <c r="L31" s="209"/>
      <c r="M31" s="209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ht="13.5" customHeight="1">
      <c r="A32" s="210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ht="13.5" customHeight="1">
      <c r="A33" s="210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 ht="13.5" customHeight="1">
      <c r="A34" s="210"/>
      <c r="B34" s="158"/>
      <c r="C34" s="158"/>
      <c r="D34" s="158"/>
      <c r="E34" s="158"/>
      <c r="F34" s="211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ht="13.5" customHeight="1">
      <c r="A35" s="210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ht="13.5" customHeight="1">
      <c r="A36" s="210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ht="13.5" customHeight="1">
      <c r="A37" s="210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 ht="13.5" customHeight="1">
      <c r="A38" s="210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</row>
    <row r="39" ht="13.5" customHeight="1">
      <c r="A39" s="210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 ht="13.5" customHeight="1">
      <c r="A40" s="210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 ht="13.5" customHeight="1">
      <c r="A41" s="210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 ht="13.5" customHeight="1">
      <c r="A42" s="210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 ht="13.5" customHeight="1">
      <c r="A43" s="210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 ht="13.5" customHeight="1">
      <c r="A44" s="210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</row>
    <row r="45" ht="13.5" customHeight="1">
      <c r="A45" s="210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 ht="13.5" customHeight="1">
      <c r="A46" s="210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</row>
    <row r="47" ht="13.5" customHeight="1">
      <c r="A47" s="210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 ht="13.5" customHeight="1">
      <c r="A48" s="210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 ht="13.5" customHeight="1">
      <c r="A49" s="210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</row>
    <row r="50" ht="13.5" customHeight="1">
      <c r="A50" s="210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</row>
    <row r="51" ht="13.5" customHeight="1">
      <c r="A51" s="210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</row>
    <row r="52" ht="13.5" customHeight="1">
      <c r="A52" s="210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</row>
    <row r="53" ht="13.5" customHeight="1">
      <c r="A53" s="210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 ht="13.5" customHeight="1">
      <c r="A54" s="210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</row>
    <row r="55" ht="13.5" customHeight="1">
      <c r="A55" s="210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 ht="13.5" customHeight="1">
      <c r="A56" s="210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</row>
    <row r="57" ht="13.5" customHeight="1">
      <c r="A57" s="210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</row>
    <row r="58" ht="13.5" customHeight="1">
      <c r="A58" s="210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ht="13.5" customHeight="1">
      <c r="A59" s="210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 ht="13.5" customHeight="1">
      <c r="A60" s="210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 ht="13.5" customHeight="1">
      <c r="A61" s="210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 ht="13.5" customHeight="1">
      <c r="A62" s="210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</row>
    <row r="63" ht="13.5" customHeight="1">
      <c r="A63" s="210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</row>
    <row r="64" ht="13.5" customHeight="1">
      <c r="A64" s="210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</row>
    <row r="65" ht="13.5" customHeight="1">
      <c r="A65" s="210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 ht="13.5" customHeight="1">
      <c r="A66" s="210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 ht="13.5" customHeight="1">
      <c r="A67" s="210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 ht="13.5" customHeight="1">
      <c r="A68" s="210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 ht="13.5" customHeight="1">
      <c r="A69" s="210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 ht="13.5" customHeight="1">
      <c r="A70" s="210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 ht="13.5" customHeight="1">
      <c r="A71" s="210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 ht="13.5" customHeight="1">
      <c r="A72" s="210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 ht="13.5" customHeight="1">
      <c r="A73" s="210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 ht="13.5" customHeight="1">
      <c r="A74" s="210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</row>
    <row r="75" ht="13.5" customHeight="1">
      <c r="A75" s="210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 ht="13.5" customHeight="1">
      <c r="A76" s="210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 ht="13.5" customHeight="1">
      <c r="A77" s="210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</row>
    <row r="78" ht="13.5" customHeight="1">
      <c r="A78" s="210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 ht="13.5" customHeight="1">
      <c r="A79" s="210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</row>
    <row r="80" ht="13.5" customHeight="1">
      <c r="A80" s="210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</row>
    <row r="81" ht="13.5" customHeight="1">
      <c r="A81" s="210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 ht="13.5" customHeight="1">
      <c r="A82" s="210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 ht="13.5" customHeight="1">
      <c r="A83" s="210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 ht="13.5" customHeight="1">
      <c r="A84" s="210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 ht="13.5" customHeight="1">
      <c r="A85" s="210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ht="13.5" customHeight="1">
      <c r="A86" s="210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 ht="13.5" customHeight="1">
      <c r="A87" s="210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 ht="13.5" customHeight="1">
      <c r="A88" s="210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</row>
    <row r="89" ht="13.5" customHeight="1">
      <c r="A89" s="210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</row>
    <row r="90" ht="13.5" customHeight="1">
      <c r="A90" s="210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</row>
    <row r="91" ht="13.5" customHeight="1">
      <c r="A91" s="210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</row>
    <row r="92" ht="13.5" customHeight="1">
      <c r="A92" s="210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</row>
    <row r="93" ht="13.5" customHeight="1">
      <c r="A93" s="210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</row>
    <row r="94" ht="13.5" customHeight="1">
      <c r="A94" s="210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</row>
    <row r="95" ht="13.5" customHeight="1">
      <c r="A95" s="210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 ht="13.5" customHeight="1">
      <c r="A96" s="210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 ht="13.5" customHeight="1">
      <c r="A97" s="210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 ht="13.5" customHeight="1">
      <c r="A98" s="210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 ht="13.5" customHeight="1">
      <c r="A99" s="210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 ht="13.5" customHeight="1">
      <c r="A100" s="210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ht="13.5" customHeight="1">
      <c r="A101" s="210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 ht="13.5" customHeight="1">
      <c r="A102" s="210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 ht="13.5" customHeight="1">
      <c r="A103" s="210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 ht="13.5" customHeight="1">
      <c r="A104" s="210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 ht="13.5" customHeight="1">
      <c r="A105" s="210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 ht="13.5" customHeight="1">
      <c r="A106" s="210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</row>
    <row r="107" ht="13.5" customHeight="1">
      <c r="A107" s="210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 ht="13.5" customHeight="1">
      <c r="A108" s="210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</row>
    <row r="109" ht="13.5" customHeight="1">
      <c r="A109" s="210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 ht="13.5" customHeight="1">
      <c r="A110" s="210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</row>
    <row r="111" ht="13.5" customHeight="1">
      <c r="A111" s="210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</row>
    <row r="112" ht="13.5" customHeight="1">
      <c r="A112" s="210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</row>
    <row r="113" ht="13.5" customHeight="1">
      <c r="A113" s="210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</row>
    <row r="114" ht="13.5" customHeight="1">
      <c r="A114" s="210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</row>
    <row r="115" ht="13.5" customHeight="1">
      <c r="A115" s="210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</row>
    <row r="116" ht="13.5" customHeight="1">
      <c r="A116" s="210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</row>
    <row r="117" ht="13.5" customHeight="1">
      <c r="A117" s="210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</row>
    <row r="118" ht="13.5" customHeight="1">
      <c r="A118" s="210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</row>
    <row r="119" ht="13.5" customHeight="1">
      <c r="A119" s="210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</row>
    <row r="120" ht="13.5" customHeight="1">
      <c r="A120" s="210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 ht="13.5" customHeight="1">
      <c r="A121" s="210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</row>
    <row r="122" ht="13.5" customHeight="1">
      <c r="A122" s="210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</row>
    <row r="123" ht="13.5" customHeight="1">
      <c r="A123" s="210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 ht="13.5" customHeight="1">
      <c r="A124" s="210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</row>
    <row r="125" ht="13.5" customHeight="1">
      <c r="A125" s="210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</row>
    <row r="126" ht="13.5" customHeight="1">
      <c r="A126" s="210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</row>
    <row r="127" ht="13.5" customHeight="1">
      <c r="A127" s="210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</row>
    <row r="128" ht="13.5" customHeight="1">
      <c r="A128" s="210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</row>
    <row r="129" ht="13.5" customHeight="1">
      <c r="A129" s="210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</row>
    <row r="130" ht="13.5" customHeight="1">
      <c r="A130" s="210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</row>
    <row r="131" ht="13.5" customHeight="1">
      <c r="A131" s="210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</row>
    <row r="132" ht="13.5" customHeight="1">
      <c r="A132" s="210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</row>
    <row r="133" ht="13.5" customHeight="1">
      <c r="A133" s="210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</row>
    <row r="134" ht="13.5" customHeight="1">
      <c r="A134" s="210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</row>
    <row r="135" ht="13.5" customHeight="1">
      <c r="A135" s="210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</row>
    <row r="136" ht="13.5" customHeight="1">
      <c r="A136" s="210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</row>
    <row r="137" ht="13.5" customHeight="1">
      <c r="A137" s="210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</row>
    <row r="138" ht="13.5" customHeight="1">
      <c r="A138" s="210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 ht="13.5" customHeight="1">
      <c r="A139" s="210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</row>
    <row r="140" ht="13.5" customHeight="1">
      <c r="A140" s="210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</row>
    <row r="141" ht="13.5" customHeight="1">
      <c r="A141" s="210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</row>
    <row r="142" ht="13.5" customHeight="1">
      <c r="A142" s="210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</row>
    <row r="143" ht="13.5" customHeight="1">
      <c r="A143" s="210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</row>
    <row r="144" ht="13.5" customHeight="1">
      <c r="A144" s="210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</row>
    <row r="145" ht="13.5" customHeight="1">
      <c r="A145" s="210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</row>
    <row r="146" ht="13.5" customHeight="1">
      <c r="A146" s="210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</row>
    <row r="147" ht="13.5" customHeight="1">
      <c r="A147" s="210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 ht="13.5" customHeight="1">
      <c r="A148" s="210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</row>
    <row r="149" ht="13.5" customHeight="1">
      <c r="A149" s="210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</row>
    <row r="150" ht="13.5" customHeight="1">
      <c r="A150" s="210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</row>
    <row r="151" ht="13.5" customHeight="1">
      <c r="A151" s="210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</row>
    <row r="152" ht="13.5" customHeight="1">
      <c r="A152" s="210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</row>
    <row r="153" ht="13.5" customHeight="1">
      <c r="A153" s="210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</row>
    <row r="154" ht="13.5" customHeight="1">
      <c r="A154" s="210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</row>
    <row r="155" ht="13.5" customHeight="1">
      <c r="A155" s="210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 ht="13.5" customHeight="1">
      <c r="A156" s="210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</row>
    <row r="157" ht="13.5" customHeight="1">
      <c r="A157" s="210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</row>
    <row r="158" ht="13.5" customHeight="1">
      <c r="A158" s="210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</row>
    <row r="159" ht="13.5" customHeight="1">
      <c r="A159" s="210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</row>
    <row r="160" ht="13.5" customHeight="1">
      <c r="A160" s="210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</row>
    <row r="161" ht="13.5" customHeight="1">
      <c r="A161" s="210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</row>
    <row r="162" ht="13.5" customHeight="1">
      <c r="A162" s="210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</row>
    <row r="163" ht="13.5" customHeight="1">
      <c r="A163" s="210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</row>
    <row r="164" ht="13.5" customHeight="1">
      <c r="A164" s="210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</row>
    <row r="165" ht="13.5" customHeight="1">
      <c r="A165" s="210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</row>
    <row r="166" ht="13.5" customHeight="1">
      <c r="A166" s="210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</row>
    <row r="167" ht="13.5" customHeight="1">
      <c r="A167" s="210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</row>
    <row r="168" ht="13.5" customHeight="1">
      <c r="A168" s="210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</row>
    <row r="169" ht="13.5" customHeight="1">
      <c r="A169" s="210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</row>
    <row r="170" ht="13.5" customHeight="1">
      <c r="A170" s="210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</row>
    <row r="171" ht="13.5" customHeight="1">
      <c r="A171" s="210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</row>
    <row r="172" ht="13.5" customHeight="1">
      <c r="A172" s="210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</row>
    <row r="173" ht="13.5" customHeight="1">
      <c r="A173" s="210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</row>
    <row r="174" ht="13.5" customHeight="1">
      <c r="A174" s="210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</row>
    <row r="175" ht="13.5" customHeight="1">
      <c r="A175" s="210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</row>
    <row r="176" ht="13.5" customHeight="1">
      <c r="A176" s="210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</row>
    <row r="177" ht="13.5" customHeight="1">
      <c r="A177" s="210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</row>
    <row r="178" ht="13.5" customHeight="1">
      <c r="A178" s="210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</row>
    <row r="179" ht="13.5" customHeight="1">
      <c r="A179" s="210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</row>
    <row r="180" ht="13.5" customHeight="1">
      <c r="A180" s="210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</row>
    <row r="181" ht="13.5" customHeight="1">
      <c r="A181" s="210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</row>
    <row r="182" ht="13.5" customHeight="1">
      <c r="A182" s="210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</row>
    <row r="183" ht="13.5" customHeight="1">
      <c r="A183" s="210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</row>
    <row r="184" ht="13.5" customHeight="1">
      <c r="A184" s="210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</row>
    <row r="185" ht="13.5" customHeight="1">
      <c r="A185" s="210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</row>
    <row r="186" ht="13.5" customHeight="1">
      <c r="A186" s="210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</row>
    <row r="187" ht="13.5" customHeight="1">
      <c r="A187" s="210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</row>
    <row r="188" ht="13.5" customHeight="1">
      <c r="A188" s="210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</row>
    <row r="189" ht="13.5" customHeight="1">
      <c r="A189" s="210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</row>
    <row r="190" ht="13.5" customHeight="1">
      <c r="A190" s="210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</row>
    <row r="191" ht="13.5" customHeight="1">
      <c r="A191" s="210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</row>
    <row r="192" ht="13.5" customHeight="1">
      <c r="A192" s="210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</row>
    <row r="193" ht="13.5" customHeight="1">
      <c r="A193" s="210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</row>
    <row r="194" ht="13.5" customHeight="1">
      <c r="A194" s="210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</row>
    <row r="195" ht="13.5" customHeight="1">
      <c r="A195" s="210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</row>
    <row r="196" ht="13.5" customHeight="1">
      <c r="A196" s="210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</row>
    <row r="197" ht="13.5" customHeight="1">
      <c r="A197" s="210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</row>
    <row r="198" ht="13.5" customHeight="1">
      <c r="A198" s="210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</row>
    <row r="199" ht="13.5" customHeight="1">
      <c r="A199" s="210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</row>
    <row r="200" ht="13.5" customHeight="1">
      <c r="A200" s="210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</row>
    <row r="201" ht="13.5" customHeight="1">
      <c r="A201" s="210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</row>
    <row r="202" ht="13.5" customHeight="1">
      <c r="A202" s="210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</row>
    <row r="203" ht="13.5" customHeight="1">
      <c r="A203" s="210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</row>
    <row r="204" ht="13.5" customHeight="1">
      <c r="A204" s="210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</row>
    <row r="205" ht="13.5" customHeight="1">
      <c r="A205" s="210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</row>
    <row r="206" ht="13.5" customHeight="1">
      <c r="A206" s="210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</row>
    <row r="207" ht="13.5" customHeight="1">
      <c r="A207" s="210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</row>
    <row r="208" ht="13.5" customHeight="1">
      <c r="A208" s="210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</row>
    <row r="209" ht="13.5" customHeight="1">
      <c r="A209" s="210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</row>
    <row r="210" ht="13.5" customHeight="1">
      <c r="A210" s="210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</row>
    <row r="211" ht="13.5" customHeight="1">
      <c r="A211" s="210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</row>
    <row r="212" ht="13.5" customHeight="1">
      <c r="A212" s="210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</row>
    <row r="213" ht="13.5" customHeight="1">
      <c r="A213" s="210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</row>
    <row r="214" ht="13.5" customHeight="1">
      <c r="A214" s="210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</row>
    <row r="215" ht="13.5" customHeight="1">
      <c r="A215" s="210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</row>
    <row r="216" ht="13.5" customHeight="1">
      <c r="A216" s="210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</row>
    <row r="217" ht="13.5" customHeight="1">
      <c r="A217" s="210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</row>
    <row r="218" ht="13.5" customHeight="1">
      <c r="A218" s="210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</row>
    <row r="219" ht="13.5" customHeight="1">
      <c r="A219" s="210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</row>
    <row r="220" ht="13.5" customHeight="1">
      <c r="A220" s="210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</row>
    <row r="221" ht="13.5" customHeight="1">
      <c r="A221" s="210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</row>
    <row r="222" ht="13.5" customHeight="1">
      <c r="A222" s="210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</row>
    <row r="223" ht="13.5" customHeight="1">
      <c r="A223" s="210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</row>
    <row r="224" ht="13.5" customHeight="1">
      <c r="A224" s="210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</row>
    <row r="225" ht="13.5" customHeight="1">
      <c r="A225" s="210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</row>
    <row r="226" ht="13.5" customHeight="1">
      <c r="A226" s="210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</row>
    <row r="227" ht="13.5" customHeight="1">
      <c r="A227" s="210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</row>
    <row r="228" ht="13.5" customHeight="1">
      <c r="A228" s="210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</row>
    <row r="229" ht="13.5" customHeight="1">
      <c r="A229" s="210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24.75"/>
    <col customWidth="1" min="3" max="3" width="10.13"/>
    <col customWidth="1" min="4" max="4" width="9.88"/>
    <col customWidth="1" min="5" max="5" width="10.0"/>
    <col customWidth="1" min="6" max="6" width="10.88"/>
    <col customWidth="1" min="7" max="7" width="9.63"/>
    <col customWidth="1" min="8" max="8" width="8.88"/>
    <col customWidth="1" min="9" max="9" width="9.88"/>
    <col customWidth="1" min="10" max="26" width="10.0"/>
  </cols>
  <sheetData>
    <row r="1" ht="13.5" customHeight="1">
      <c r="A1" s="156"/>
      <c r="B1" s="15"/>
      <c r="C1" s="15"/>
      <c r="D1" s="15"/>
      <c r="E1" s="15"/>
      <c r="F1" s="15"/>
      <c r="G1" s="15"/>
      <c r="H1" s="15"/>
      <c r="I1" s="6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</row>
    <row r="2" ht="15.0" customHeight="1">
      <c r="A2" s="159" t="s">
        <v>142</v>
      </c>
      <c r="B2" s="15"/>
      <c r="C2" s="15"/>
      <c r="D2" s="15"/>
      <c r="E2" s="160"/>
      <c r="F2" s="15"/>
      <c r="G2" s="15"/>
      <c r="H2" s="15"/>
      <c r="I2" s="161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ht="13.5" customHeight="1">
      <c r="A3" s="162" t="s">
        <v>116</v>
      </c>
      <c r="B3" s="15" t="s">
        <v>117</v>
      </c>
      <c r="C3" s="15"/>
      <c r="D3" s="15"/>
      <c r="E3" s="161"/>
      <c r="F3" s="15"/>
      <c r="G3" s="161"/>
      <c r="H3" s="158"/>
      <c r="I3" s="15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 ht="17.25" customHeight="1">
      <c r="A4" s="163" t="s">
        <v>118</v>
      </c>
      <c r="B4" s="7"/>
      <c r="C4" s="165"/>
      <c r="D4" s="165"/>
      <c r="E4" s="15"/>
      <c r="F4" s="15"/>
      <c r="G4" s="165"/>
      <c r="H4" s="158"/>
      <c r="I4" s="20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3.5" customHeight="1">
      <c r="A5" s="163" t="s">
        <v>119</v>
      </c>
      <c r="B5" s="15"/>
      <c r="C5" s="15"/>
      <c r="D5" s="15"/>
      <c r="E5" s="15"/>
      <c r="F5" s="15"/>
      <c r="G5" s="15"/>
      <c r="H5" s="158"/>
      <c r="I5" s="15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 ht="14.25" customHeight="1">
      <c r="A6" s="156"/>
      <c r="B6" s="15"/>
      <c r="C6" s="15"/>
      <c r="D6" s="15"/>
      <c r="E6" s="15"/>
      <c r="F6" s="15"/>
      <c r="G6" s="15"/>
      <c r="H6" s="15"/>
      <c r="I6" s="15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</row>
    <row r="7" ht="14.25" customHeight="1">
      <c r="A7" s="212"/>
      <c r="B7" s="26"/>
      <c r="C7" s="213" t="s">
        <v>18</v>
      </c>
      <c r="D7" s="213"/>
      <c r="E7" s="214"/>
      <c r="F7" s="26"/>
      <c r="G7" s="213" t="s">
        <v>51</v>
      </c>
      <c r="H7" s="213"/>
      <c r="I7" s="214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 ht="14.25" customHeight="1">
      <c r="A8" s="215" t="s">
        <v>54</v>
      </c>
      <c r="B8" s="57" t="s">
        <v>56</v>
      </c>
      <c r="C8" s="58" t="s">
        <v>58</v>
      </c>
      <c r="D8" s="58" t="s">
        <v>59</v>
      </c>
      <c r="E8" s="60" t="s">
        <v>61</v>
      </c>
      <c r="F8" s="57" t="s">
        <v>56</v>
      </c>
      <c r="G8" s="58" t="s">
        <v>58</v>
      </c>
      <c r="H8" s="58" t="s">
        <v>59</v>
      </c>
      <c r="I8" s="60" t="s">
        <v>61</v>
      </c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 ht="16.5" customHeight="1">
      <c r="A9" s="173" t="s">
        <v>121</v>
      </c>
      <c r="B9" s="174">
        <v>45000.0</v>
      </c>
      <c r="C9" s="175">
        <v>48000.0</v>
      </c>
      <c r="D9" s="175">
        <v>52000.0</v>
      </c>
      <c r="E9" s="176">
        <v>55000.0</v>
      </c>
      <c r="F9" s="174">
        <v>58000.0</v>
      </c>
      <c r="G9" s="175">
        <v>62000.0</v>
      </c>
      <c r="H9" s="175">
        <v>64000.0</v>
      </c>
      <c r="I9" s="176">
        <v>66000.0</v>
      </c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5.75" customHeight="1">
      <c r="A10" s="178" t="s">
        <v>122</v>
      </c>
      <c r="B10" s="179">
        <v>0.0</v>
      </c>
      <c r="C10" s="180">
        <v>0.0</v>
      </c>
      <c r="D10" s="180">
        <v>0.0</v>
      </c>
      <c r="E10" s="181">
        <v>0.0</v>
      </c>
      <c r="F10" s="179">
        <v>0.0</v>
      </c>
      <c r="G10" s="180">
        <v>0.0</v>
      </c>
      <c r="H10" s="180">
        <v>0.0</v>
      </c>
      <c r="I10" s="181">
        <v>0.0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 ht="13.5" customHeight="1">
      <c r="A11" s="178" t="s">
        <v>123</v>
      </c>
      <c r="B11" s="179">
        <v>0.0</v>
      </c>
      <c r="C11" s="180">
        <v>0.0</v>
      </c>
      <c r="D11" s="180">
        <v>0.0</v>
      </c>
      <c r="E11" s="181">
        <v>0.0</v>
      </c>
      <c r="F11" s="179">
        <v>0.0</v>
      </c>
      <c r="G11" s="180">
        <v>0.0</v>
      </c>
      <c r="H11" s="180">
        <v>0.0</v>
      </c>
      <c r="I11" s="181">
        <v>0.0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 ht="13.5" customHeight="1">
      <c r="A12" s="173" t="s">
        <v>124</v>
      </c>
      <c r="B12" s="182">
        <v>0.0</v>
      </c>
      <c r="C12" s="183">
        <v>0.0</v>
      </c>
      <c r="D12" s="183">
        <v>0.0</v>
      </c>
      <c r="E12" s="184">
        <v>0.0</v>
      </c>
      <c r="F12" s="182">
        <v>0.0</v>
      </c>
      <c r="G12" s="183">
        <v>0.0</v>
      </c>
      <c r="H12" s="183">
        <v>0.0</v>
      </c>
      <c r="I12" s="184">
        <v>0.0</v>
      </c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 ht="13.5" customHeight="1">
      <c r="A13" s="178" t="s">
        <v>125</v>
      </c>
      <c r="B13" s="179">
        <v>0.0</v>
      </c>
      <c r="C13" s="180">
        <v>0.0</v>
      </c>
      <c r="D13" s="180">
        <v>0.0</v>
      </c>
      <c r="E13" s="181">
        <v>0.0</v>
      </c>
      <c r="F13" s="179">
        <v>0.0</v>
      </c>
      <c r="G13" s="180">
        <v>0.0</v>
      </c>
      <c r="H13" s="180">
        <v>0.0</v>
      </c>
      <c r="I13" s="181">
        <v>0.0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</row>
    <row r="14" ht="13.5" customHeight="1">
      <c r="A14" s="178" t="s">
        <v>126</v>
      </c>
      <c r="B14" s="179">
        <v>0.0</v>
      </c>
      <c r="C14" s="180">
        <v>0.0</v>
      </c>
      <c r="D14" s="180">
        <v>0.0</v>
      </c>
      <c r="E14" s="181">
        <v>0.0</v>
      </c>
      <c r="F14" s="179">
        <v>0.0</v>
      </c>
      <c r="G14" s="180">
        <v>0.0</v>
      </c>
      <c r="H14" s="180">
        <v>0.0</v>
      </c>
      <c r="I14" s="181">
        <v>0.0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</row>
    <row r="15" ht="13.5" customHeight="1">
      <c r="A15" s="173" t="s">
        <v>127</v>
      </c>
      <c r="B15" s="182">
        <v>0.0</v>
      </c>
      <c r="C15" s="183">
        <v>0.0</v>
      </c>
      <c r="D15" s="183">
        <v>0.0</v>
      </c>
      <c r="E15" s="184">
        <v>0.0</v>
      </c>
      <c r="F15" s="182">
        <v>0.0</v>
      </c>
      <c r="G15" s="183">
        <v>0.0</v>
      </c>
      <c r="H15" s="183">
        <v>0.0</v>
      </c>
      <c r="I15" s="184">
        <v>0.0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</row>
    <row r="16" ht="13.5" customHeight="1">
      <c r="A16" s="178" t="s">
        <v>128</v>
      </c>
      <c r="B16" s="179">
        <v>0.0</v>
      </c>
      <c r="C16" s="180">
        <v>0.0</v>
      </c>
      <c r="D16" s="180">
        <v>0.0</v>
      </c>
      <c r="E16" s="181">
        <v>0.0</v>
      </c>
      <c r="F16" s="179">
        <v>0.0</v>
      </c>
      <c r="G16" s="180">
        <v>0.0</v>
      </c>
      <c r="H16" s="180">
        <v>0.0</v>
      </c>
      <c r="I16" s="181">
        <v>0.0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</row>
    <row r="17" ht="13.5" customHeight="1">
      <c r="A17" s="178" t="s">
        <v>129</v>
      </c>
      <c r="B17" s="179">
        <v>0.0</v>
      </c>
      <c r="C17" s="180">
        <v>0.0</v>
      </c>
      <c r="D17" s="180">
        <v>0.0</v>
      </c>
      <c r="E17" s="181">
        <v>0.0</v>
      </c>
      <c r="F17" s="179">
        <v>0.0</v>
      </c>
      <c r="G17" s="180">
        <v>0.0</v>
      </c>
      <c r="H17" s="180">
        <v>0.0</v>
      </c>
      <c r="I17" s="181">
        <v>0.0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</row>
    <row r="18" ht="13.5" customHeight="1">
      <c r="A18" s="185" t="s">
        <v>130</v>
      </c>
      <c r="B18" s="186">
        <f t="shared" ref="B18:I18" si="1">(B9+B12+B15)</f>
        <v>45000</v>
      </c>
      <c r="C18" s="187">
        <f t="shared" si="1"/>
        <v>48000</v>
      </c>
      <c r="D18" s="187">
        <f t="shared" si="1"/>
        <v>52000</v>
      </c>
      <c r="E18" s="188">
        <f t="shared" si="1"/>
        <v>55000</v>
      </c>
      <c r="F18" s="186">
        <f t="shared" si="1"/>
        <v>58000</v>
      </c>
      <c r="G18" s="187">
        <f t="shared" si="1"/>
        <v>62000</v>
      </c>
      <c r="H18" s="187">
        <f t="shared" si="1"/>
        <v>64000</v>
      </c>
      <c r="I18" s="188">
        <f t="shared" si="1"/>
        <v>66000</v>
      </c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</row>
    <row r="19" ht="13.5" customHeight="1">
      <c r="A19" s="185" t="s">
        <v>131</v>
      </c>
      <c r="B19" s="186">
        <f t="shared" ref="B19:I19" si="2">B18-(B10+B11+B13+B14+B16+B17)</f>
        <v>45000</v>
      </c>
      <c r="C19" s="187">
        <f t="shared" si="2"/>
        <v>48000</v>
      </c>
      <c r="D19" s="187">
        <f t="shared" si="2"/>
        <v>52000</v>
      </c>
      <c r="E19" s="188">
        <f t="shared" si="2"/>
        <v>55000</v>
      </c>
      <c r="F19" s="186">
        <f t="shared" si="2"/>
        <v>58000</v>
      </c>
      <c r="G19" s="187">
        <f t="shared" si="2"/>
        <v>62000</v>
      </c>
      <c r="H19" s="187">
        <f t="shared" si="2"/>
        <v>64000</v>
      </c>
      <c r="I19" s="188">
        <f t="shared" si="2"/>
        <v>66000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</row>
    <row r="20" ht="13.5" customHeight="1">
      <c r="A20" s="189" t="s">
        <v>132</v>
      </c>
      <c r="B20" s="190">
        <f>'betr. Aufw, Anl.2,quart'!B25</f>
        <v>4230</v>
      </c>
      <c r="C20" s="191">
        <f>'betr. Aufw, Anl.2,quart'!C25</f>
        <v>4230</v>
      </c>
      <c r="D20" s="191">
        <f>'betr. Aufw, Anl.2,quart'!D25</f>
        <v>4230</v>
      </c>
      <c r="E20" s="192">
        <f>'betr. Aufw, Anl.2,quart'!E25</f>
        <v>4230</v>
      </c>
      <c r="F20" s="190">
        <f>'betr. Aufw, Anl.2,quart'!F25</f>
        <v>4230</v>
      </c>
      <c r="G20" s="191">
        <f>'betr. Aufw, Anl.2,quart'!G25</f>
        <v>4230</v>
      </c>
      <c r="H20" s="191">
        <f>'betr. Aufw, Anl.2,quart'!H25</f>
        <v>4230</v>
      </c>
      <c r="I20" s="192">
        <f>'betr. Aufw, Anl.2,quart'!I25</f>
        <v>4230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ht="13.5" customHeight="1">
      <c r="A21" s="178" t="s">
        <v>133</v>
      </c>
      <c r="B21" s="179">
        <v>0.0</v>
      </c>
      <c r="C21" s="180">
        <v>0.0</v>
      </c>
      <c r="D21" s="180">
        <v>0.0</v>
      </c>
      <c r="E21" s="181">
        <v>0.0</v>
      </c>
      <c r="F21" s="179">
        <v>0.0</v>
      </c>
      <c r="G21" s="180">
        <v>0.0</v>
      </c>
      <c r="H21" s="180">
        <v>0.0</v>
      </c>
      <c r="I21" s="181">
        <v>0.0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</row>
    <row r="22" ht="13.5" customHeight="1">
      <c r="A22" s="178" t="s">
        <v>134</v>
      </c>
      <c r="B22" s="179">
        <v>0.0</v>
      </c>
      <c r="C22" s="180">
        <v>0.0</v>
      </c>
      <c r="D22" s="180">
        <v>0.0</v>
      </c>
      <c r="E22" s="181">
        <v>0.0</v>
      </c>
      <c r="F22" s="179">
        <v>0.0</v>
      </c>
      <c r="G22" s="180">
        <v>0.0</v>
      </c>
      <c r="H22" s="180">
        <v>0.0</v>
      </c>
      <c r="I22" s="181">
        <v>0.0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</row>
    <row r="23" ht="14.25" customHeight="1">
      <c r="A23" s="193" t="s">
        <v>135</v>
      </c>
      <c r="B23" s="179">
        <v>0.0</v>
      </c>
      <c r="C23" s="180">
        <v>0.0</v>
      </c>
      <c r="D23" s="180">
        <v>0.0</v>
      </c>
      <c r="E23" s="181">
        <v>0.0</v>
      </c>
      <c r="F23" s="179">
        <v>0.0</v>
      </c>
      <c r="G23" s="180">
        <v>0.0</v>
      </c>
      <c r="H23" s="180">
        <v>0.0</v>
      </c>
      <c r="I23" s="181">
        <v>0.0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 ht="14.25" customHeight="1">
      <c r="A24" s="194" t="s">
        <v>136</v>
      </c>
      <c r="B24" s="195">
        <f t="shared" ref="B24:I24" si="3">B19-SUM(B20:B22)+B23</f>
        <v>40770</v>
      </c>
      <c r="C24" s="196">
        <f t="shared" si="3"/>
        <v>43770</v>
      </c>
      <c r="D24" s="196">
        <f t="shared" si="3"/>
        <v>47770</v>
      </c>
      <c r="E24" s="197">
        <f t="shared" si="3"/>
        <v>50770</v>
      </c>
      <c r="F24" s="195">
        <f t="shared" si="3"/>
        <v>53770</v>
      </c>
      <c r="G24" s="196">
        <f t="shared" si="3"/>
        <v>57770</v>
      </c>
      <c r="H24" s="196">
        <f t="shared" si="3"/>
        <v>59770</v>
      </c>
      <c r="I24" s="197">
        <f t="shared" si="3"/>
        <v>61770</v>
      </c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 ht="13.5" customHeight="1">
      <c r="A25" s="198" t="s">
        <v>153</v>
      </c>
      <c r="B25" s="190">
        <v>0.0</v>
      </c>
      <c r="C25" s="191">
        <v>0.0</v>
      </c>
      <c r="D25" s="191">
        <v>0.0</v>
      </c>
      <c r="E25" s="192">
        <v>0.0</v>
      </c>
      <c r="F25" s="190">
        <v>0.0</v>
      </c>
      <c r="G25" s="191">
        <v>0.0</v>
      </c>
      <c r="H25" s="191">
        <v>0.0</v>
      </c>
      <c r="I25" s="192">
        <v>0.0</v>
      </c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 ht="13.5" customHeight="1">
      <c r="A26" s="189" t="s">
        <v>138</v>
      </c>
      <c r="B26" s="231">
        <f>'priv. Aufwendungen, Anl. 3'!C54</f>
        <v>8295</v>
      </c>
      <c r="C26" s="191">
        <f>'priv. Aufwendungen, Anl. 3'!C54</f>
        <v>8295</v>
      </c>
      <c r="D26" s="191">
        <f>'priv. Aufwendungen, Anl. 3'!C54</f>
        <v>8295</v>
      </c>
      <c r="E26" s="232">
        <f>'priv. Aufwendungen, Anl. 3'!C54</f>
        <v>8295</v>
      </c>
      <c r="F26" s="231">
        <f>'priv. Aufwendungen, Anl. 3'!C54</f>
        <v>8295</v>
      </c>
      <c r="G26" s="191">
        <f>'priv. Aufwendungen, Anl. 3'!C54</f>
        <v>8295</v>
      </c>
      <c r="H26" s="191">
        <f>'priv. Aufwendungen, Anl. 3'!C54</f>
        <v>8295</v>
      </c>
      <c r="I26" s="234">
        <f>'priv. Aufwendungen, Anl. 3'!C54</f>
        <v>8295</v>
      </c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ht="13.5" customHeight="1">
      <c r="A27" s="199" t="s">
        <v>139</v>
      </c>
      <c r="B27" s="200">
        <f t="shared" ref="B27:I27" si="4">B24+B25-B26</f>
        <v>32475</v>
      </c>
      <c r="C27" s="201">
        <f t="shared" si="4"/>
        <v>35475</v>
      </c>
      <c r="D27" s="201">
        <f t="shared" si="4"/>
        <v>39475</v>
      </c>
      <c r="E27" s="202">
        <f t="shared" si="4"/>
        <v>42475</v>
      </c>
      <c r="F27" s="200">
        <f t="shared" si="4"/>
        <v>45475</v>
      </c>
      <c r="G27" s="201">
        <f t="shared" si="4"/>
        <v>49475</v>
      </c>
      <c r="H27" s="201">
        <f t="shared" si="4"/>
        <v>51475</v>
      </c>
      <c r="I27" s="202">
        <f t="shared" si="4"/>
        <v>53475</v>
      </c>
      <c r="J27" s="203">
        <f>SUM(B27:I27)</f>
        <v>349800</v>
      </c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ht="13.5" customHeight="1">
      <c r="A28" s="189"/>
      <c r="B28" s="190"/>
      <c r="C28" s="191"/>
      <c r="D28" s="191"/>
      <c r="E28" s="192"/>
      <c r="F28" s="190"/>
      <c r="G28" s="191"/>
      <c r="H28" s="191"/>
      <c r="I28" s="192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 ht="84.75" customHeight="1">
      <c r="A29" s="204" t="s">
        <v>157</v>
      </c>
      <c r="B29" s="239" t="s">
        <v>159</v>
      </c>
      <c r="C29" s="206"/>
      <c r="D29" s="206"/>
      <c r="E29" s="207"/>
      <c r="F29" s="205"/>
      <c r="G29" s="206"/>
      <c r="H29" s="206"/>
      <c r="I29" s="207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13.5" customHeight="1">
      <c r="A30" s="208"/>
      <c r="B30" s="1"/>
      <c r="C30" s="1"/>
      <c r="D30" s="1"/>
      <c r="E30" s="1"/>
      <c r="F30" s="1"/>
      <c r="G30" s="1"/>
      <c r="H30" s="1"/>
      <c r="I30" s="1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 ht="12.75" customHeight="1">
      <c r="A31" s="208"/>
      <c r="B31" s="1"/>
      <c r="C31" s="1"/>
      <c r="D31" s="1"/>
      <c r="E31" s="1"/>
      <c r="F31" s="1"/>
      <c r="G31" s="1"/>
      <c r="H31" s="1"/>
      <c r="I31" s="1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ht="13.5" customHeight="1">
      <c r="A32" s="210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ht="13.5" customHeight="1">
      <c r="A33" s="210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 ht="13.5" customHeight="1">
      <c r="A34" s="210"/>
      <c r="B34" s="158"/>
      <c r="C34" s="158"/>
      <c r="D34" s="158"/>
      <c r="E34" s="158"/>
      <c r="F34" s="211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ht="13.5" customHeight="1">
      <c r="A35" s="210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ht="13.5" customHeight="1">
      <c r="A36" s="210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ht="13.5" customHeight="1">
      <c r="A37" s="210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 ht="13.5" customHeight="1">
      <c r="A38" s="210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</row>
    <row r="39" ht="13.5" customHeight="1">
      <c r="A39" s="210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 ht="13.5" customHeight="1">
      <c r="A40" s="210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 ht="13.5" customHeight="1">
      <c r="A41" s="210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 ht="13.5" customHeight="1">
      <c r="A42" s="210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 ht="13.5" customHeight="1">
      <c r="A43" s="210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 ht="13.5" customHeight="1">
      <c r="A44" s="210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</row>
    <row r="45" ht="13.5" customHeight="1">
      <c r="A45" s="210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 ht="13.5" customHeight="1">
      <c r="A46" s="210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</row>
    <row r="47" ht="13.5" customHeight="1">
      <c r="A47" s="210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 ht="13.5" customHeight="1">
      <c r="A48" s="210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 ht="13.5" customHeight="1">
      <c r="A49" s="210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</row>
    <row r="50" ht="13.5" customHeight="1">
      <c r="A50" s="210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</row>
    <row r="51" ht="13.5" customHeight="1">
      <c r="A51" s="210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</row>
    <row r="52" ht="13.5" customHeight="1">
      <c r="A52" s="210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</row>
    <row r="53" ht="13.5" customHeight="1">
      <c r="A53" s="210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 ht="13.5" customHeight="1">
      <c r="A54" s="210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</row>
    <row r="55" ht="13.5" customHeight="1">
      <c r="A55" s="210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 ht="13.5" customHeight="1">
      <c r="A56" s="210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</row>
    <row r="57" ht="13.5" customHeight="1">
      <c r="A57" s="210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</row>
    <row r="58" ht="13.5" customHeight="1">
      <c r="A58" s="210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ht="13.5" customHeight="1">
      <c r="A59" s="210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 ht="13.5" customHeight="1">
      <c r="A60" s="210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 ht="13.5" customHeight="1">
      <c r="A61" s="210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 ht="13.5" customHeight="1">
      <c r="A62" s="210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</row>
    <row r="63" ht="13.5" customHeight="1">
      <c r="A63" s="210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</row>
    <row r="64" ht="13.5" customHeight="1">
      <c r="A64" s="210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</row>
    <row r="65" ht="13.5" customHeight="1">
      <c r="A65" s="210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 ht="13.5" customHeight="1">
      <c r="A66" s="210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 ht="13.5" customHeight="1">
      <c r="A67" s="210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 ht="13.5" customHeight="1">
      <c r="A68" s="210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 ht="13.5" customHeight="1">
      <c r="A69" s="210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 ht="13.5" customHeight="1">
      <c r="A70" s="210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 ht="13.5" customHeight="1">
      <c r="A71" s="210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 ht="13.5" customHeight="1">
      <c r="A72" s="210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 ht="13.5" customHeight="1">
      <c r="A73" s="210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 ht="13.5" customHeight="1">
      <c r="A74" s="210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</row>
    <row r="75" ht="13.5" customHeight="1">
      <c r="A75" s="210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 ht="13.5" customHeight="1">
      <c r="A76" s="210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 ht="13.5" customHeight="1">
      <c r="A77" s="210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</row>
    <row r="78" ht="13.5" customHeight="1">
      <c r="A78" s="210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 ht="13.5" customHeight="1">
      <c r="A79" s="210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</row>
    <row r="80" ht="13.5" customHeight="1">
      <c r="A80" s="210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</row>
    <row r="81" ht="13.5" customHeight="1">
      <c r="A81" s="210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 ht="13.5" customHeight="1">
      <c r="A82" s="210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 ht="13.5" customHeight="1">
      <c r="A83" s="210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 ht="13.5" customHeight="1">
      <c r="A84" s="210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 ht="13.5" customHeight="1">
      <c r="A85" s="210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ht="13.5" customHeight="1">
      <c r="A86" s="210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 ht="13.5" customHeight="1">
      <c r="A87" s="210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 ht="13.5" customHeight="1">
      <c r="A88" s="210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</row>
    <row r="89" ht="13.5" customHeight="1">
      <c r="A89" s="210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</row>
    <row r="90" ht="13.5" customHeight="1">
      <c r="A90" s="210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</row>
    <row r="91" ht="13.5" customHeight="1">
      <c r="A91" s="210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</row>
    <row r="92" ht="13.5" customHeight="1">
      <c r="A92" s="210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</row>
    <row r="93" ht="13.5" customHeight="1">
      <c r="A93" s="210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</row>
    <row r="94" ht="13.5" customHeight="1">
      <c r="A94" s="210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</row>
    <row r="95" ht="13.5" customHeight="1">
      <c r="A95" s="210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 ht="13.5" customHeight="1">
      <c r="A96" s="210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 ht="13.5" customHeight="1">
      <c r="A97" s="210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 ht="13.5" customHeight="1">
      <c r="A98" s="210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 ht="13.5" customHeight="1">
      <c r="A99" s="210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 ht="13.5" customHeight="1">
      <c r="A100" s="210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ht="13.5" customHeight="1">
      <c r="A101" s="210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 ht="13.5" customHeight="1">
      <c r="A102" s="210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 ht="13.5" customHeight="1">
      <c r="A103" s="210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 ht="13.5" customHeight="1">
      <c r="A104" s="210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 ht="13.5" customHeight="1">
      <c r="A105" s="210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 ht="13.5" customHeight="1">
      <c r="A106" s="210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</row>
    <row r="107" ht="13.5" customHeight="1">
      <c r="A107" s="210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 ht="13.5" customHeight="1">
      <c r="A108" s="210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</row>
    <row r="109" ht="13.5" customHeight="1">
      <c r="A109" s="210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 ht="13.5" customHeight="1">
      <c r="A110" s="210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</row>
    <row r="111" ht="13.5" customHeight="1">
      <c r="A111" s="210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</row>
    <row r="112" ht="13.5" customHeight="1">
      <c r="A112" s="210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</row>
    <row r="113" ht="13.5" customHeight="1">
      <c r="A113" s="210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</row>
    <row r="114" ht="13.5" customHeight="1">
      <c r="A114" s="210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</row>
    <row r="115" ht="13.5" customHeight="1">
      <c r="A115" s="210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</row>
    <row r="116" ht="13.5" customHeight="1">
      <c r="A116" s="210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</row>
    <row r="117" ht="13.5" customHeight="1">
      <c r="A117" s="210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</row>
    <row r="118" ht="13.5" customHeight="1">
      <c r="A118" s="210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</row>
    <row r="119" ht="13.5" customHeight="1">
      <c r="A119" s="210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</row>
    <row r="120" ht="13.5" customHeight="1">
      <c r="A120" s="210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 ht="13.5" customHeight="1">
      <c r="A121" s="210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</row>
    <row r="122" ht="13.5" customHeight="1">
      <c r="A122" s="210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</row>
    <row r="123" ht="13.5" customHeight="1">
      <c r="A123" s="210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 ht="13.5" customHeight="1">
      <c r="A124" s="210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</row>
    <row r="125" ht="13.5" customHeight="1">
      <c r="A125" s="210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</row>
    <row r="126" ht="13.5" customHeight="1">
      <c r="A126" s="210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</row>
    <row r="127" ht="13.5" customHeight="1">
      <c r="A127" s="210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</row>
    <row r="128" ht="13.5" customHeight="1">
      <c r="A128" s="210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</row>
    <row r="129" ht="13.5" customHeight="1">
      <c r="A129" s="210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</row>
    <row r="130" ht="13.5" customHeight="1">
      <c r="A130" s="210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</row>
    <row r="131" ht="13.5" customHeight="1">
      <c r="A131" s="210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</row>
    <row r="132" ht="13.5" customHeight="1">
      <c r="A132" s="210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</row>
    <row r="133" ht="13.5" customHeight="1">
      <c r="A133" s="210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</row>
    <row r="134" ht="13.5" customHeight="1">
      <c r="A134" s="210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</row>
    <row r="135" ht="13.5" customHeight="1">
      <c r="A135" s="210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</row>
    <row r="136" ht="13.5" customHeight="1">
      <c r="A136" s="210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</row>
    <row r="137" ht="13.5" customHeight="1">
      <c r="A137" s="210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</row>
    <row r="138" ht="13.5" customHeight="1">
      <c r="A138" s="210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 ht="13.5" customHeight="1">
      <c r="A139" s="210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</row>
    <row r="140" ht="13.5" customHeight="1">
      <c r="A140" s="210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</row>
    <row r="141" ht="13.5" customHeight="1">
      <c r="A141" s="210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</row>
    <row r="142" ht="13.5" customHeight="1">
      <c r="A142" s="210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</row>
    <row r="143" ht="13.5" customHeight="1">
      <c r="A143" s="210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</row>
    <row r="144" ht="13.5" customHeight="1">
      <c r="A144" s="210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</row>
    <row r="145" ht="13.5" customHeight="1">
      <c r="A145" s="210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</row>
    <row r="146" ht="13.5" customHeight="1">
      <c r="A146" s="210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</row>
    <row r="147" ht="13.5" customHeight="1">
      <c r="A147" s="210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 ht="13.5" customHeight="1">
      <c r="A148" s="210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</row>
    <row r="149" ht="13.5" customHeight="1">
      <c r="A149" s="210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</row>
    <row r="150" ht="13.5" customHeight="1">
      <c r="A150" s="210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</row>
    <row r="151" ht="13.5" customHeight="1">
      <c r="A151" s="210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</row>
    <row r="152" ht="13.5" customHeight="1">
      <c r="A152" s="210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</row>
    <row r="153" ht="13.5" customHeight="1">
      <c r="A153" s="210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</row>
    <row r="154" ht="13.5" customHeight="1">
      <c r="A154" s="210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</row>
    <row r="155" ht="13.5" customHeight="1">
      <c r="A155" s="210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 ht="13.5" customHeight="1">
      <c r="A156" s="210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</row>
    <row r="157" ht="13.5" customHeight="1">
      <c r="A157" s="210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</row>
    <row r="158" ht="13.5" customHeight="1">
      <c r="A158" s="210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</row>
    <row r="159" ht="13.5" customHeight="1">
      <c r="A159" s="210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</row>
    <row r="160" ht="13.5" customHeight="1">
      <c r="A160" s="210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</row>
    <row r="161" ht="13.5" customHeight="1">
      <c r="A161" s="210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</row>
    <row r="162" ht="13.5" customHeight="1">
      <c r="A162" s="210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</row>
    <row r="163" ht="13.5" customHeight="1">
      <c r="A163" s="210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</row>
    <row r="164" ht="13.5" customHeight="1">
      <c r="A164" s="210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</row>
    <row r="165" ht="13.5" customHeight="1">
      <c r="A165" s="210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</row>
    <row r="166" ht="13.5" customHeight="1">
      <c r="A166" s="210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</row>
    <row r="167" ht="13.5" customHeight="1">
      <c r="A167" s="210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</row>
    <row r="168" ht="13.5" customHeight="1">
      <c r="A168" s="210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</row>
    <row r="169" ht="13.5" customHeight="1">
      <c r="A169" s="210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</row>
    <row r="170" ht="13.5" customHeight="1">
      <c r="A170" s="210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</row>
    <row r="171" ht="13.5" customHeight="1">
      <c r="A171" s="210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</row>
    <row r="172" ht="13.5" customHeight="1">
      <c r="A172" s="210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</row>
    <row r="173" ht="13.5" customHeight="1">
      <c r="A173" s="210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</row>
    <row r="174" ht="13.5" customHeight="1">
      <c r="A174" s="210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</row>
    <row r="175" ht="13.5" customHeight="1">
      <c r="A175" s="210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</row>
    <row r="176" ht="13.5" customHeight="1">
      <c r="A176" s="210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</row>
    <row r="177" ht="13.5" customHeight="1">
      <c r="A177" s="210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</row>
    <row r="178" ht="13.5" customHeight="1">
      <c r="A178" s="210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</row>
    <row r="179" ht="13.5" customHeight="1">
      <c r="A179" s="210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</row>
    <row r="180" ht="13.5" customHeight="1">
      <c r="A180" s="210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</row>
    <row r="181" ht="13.5" customHeight="1">
      <c r="A181" s="210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</row>
    <row r="182" ht="13.5" customHeight="1">
      <c r="A182" s="210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</row>
    <row r="183" ht="13.5" customHeight="1">
      <c r="A183" s="210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</row>
    <row r="184" ht="13.5" customHeight="1">
      <c r="A184" s="210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</row>
    <row r="185" ht="13.5" customHeight="1">
      <c r="A185" s="210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</row>
    <row r="186" ht="13.5" customHeight="1">
      <c r="A186" s="210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</row>
    <row r="187" ht="13.5" customHeight="1">
      <c r="A187" s="210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</row>
    <row r="188" ht="13.5" customHeight="1">
      <c r="A188" s="210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</row>
    <row r="189" ht="13.5" customHeight="1">
      <c r="A189" s="210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</row>
    <row r="190" ht="13.5" customHeight="1">
      <c r="A190" s="210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</row>
    <row r="191" ht="13.5" customHeight="1">
      <c r="A191" s="210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</row>
    <row r="192" ht="13.5" customHeight="1">
      <c r="A192" s="210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</row>
    <row r="193" ht="13.5" customHeight="1">
      <c r="A193" s="210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</row>
    <row r="194" ht="13.5" customHeight="1">
      <c r="A194" s="210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</row>
    <row r="195" ht="13.5" customHeight="1">
      <c r="A195" s="210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</row>
    <row r="196" ht="13.5" customHeight="1">
      <c r="A196" s="210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</row>
    <row r="197" ht="13.5" customHeight="1">
      <c r="A197" s="210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</row>
    <row r="198" ht="13.5" customHeight="1">
      <c r="A198" s="210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</row>
    <row r="199" ht="13.5" customHeight="1">
      <c r="A199" s="210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</row>
    <row r="200" ht="13.5" customHeight="1">
      <c r="A200" s="210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</row>
    <row r="201" ht="13.5" customHeight="1">
      <c r="A201" s="210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</row>
    <row r="202" ht="13.5" customHeight="1">
      <c r="A202" s="210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</row>
    <row r="203" ht="13.5" customHeight="1">
      <c r="A203" s="210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</row>
    <row r="204" ht="13.5" customHeight="1">
      <c r="A204" s="210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</row>
    <row r="205" ht="13.5" customHeight="1">
      <c r="A205" s="210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</row>
    <row r="206" ht="13.5" customHeight="1">
      <c r="A206" s="210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</row>
    <row r="207" ht="13.5" customHeight="1">
      <c r="A207" s="210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</row>
    <row r="208" ht="13.5" customHeight="1">
      <c r="A208" s="210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</row>
    <row r="209" ht="13.5" customHeight="1">
      <c r="A209" s="210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</row>
    <row r="210" ht="13.5" customHeight="1">
      <c r="A210" s="210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</row>
    <row r="211" ht="13.5" customHeight="1">
      <c r="A211" s="210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</row>
    <row r="212" ht="13.5" customHeight="1">
      <c r="A212" s="210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</row>
    <row r="213" ht="13.5" customHeight="1">
      <c r="A213" s="210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</row>
    <row r="214" ht="13.5" customHeight="1">
      <c r="A214" s="210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</row>
    <row r="215" ht="13.5" customHeight="1">
      <c r="A215" s="210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</row>
    <row r="216" ht="13.5" customHeight="1">
      <c r="A216" s="210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</row>
    <row r="217" ht="13.5" customHeight="1">
      <c r="A217" s="210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</row>
    <row r="218" ht="13.5" customHeight="1">
      <c r="A218" s="210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</row>
    <row r="219" ht="13.5" customHeight="1">
      <c r="A219" s="210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</row>
    <row r="220" ht="13.5" customHeight="1">
      <c r="A220" s="210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</row>
    <row r="221" ht="13.5" customHeight="1">
      <c r="A221" s="210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</row>
    <row r="222" ht="13.5" customHeight="1">
      <c r="A222" s="210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</row>
    <row r="223" ht="13.5" customHeight="1">
      <c r="A223" s="210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</row>
    <row r="224" ht="13.5" customHeight="1">
      <c r="A224" s="210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</row>
    <row r="225" ht="13.5" customHeight="1">
      <c r="A225" s="210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</row>
    <row r="226" ht="13.5" customHeight="1">
      <c r="A226" s="210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</row>
    <row r="227" ht="13.5" customHeight="1">
      <c r="A227" s="210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</row>
    <row r="228" ht="13.5" customHeight="1">
      <c r="A228" s="210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</row>
    <row r="229" ht="13.5" customHeight="1">
      <c r="A229" s="210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88"/>
    <col customWidth="1" min="2" max="2" width="26.13"/>
    <col customWidth="1" min="3" max="22" width="10.0"/>
  </cols>
  <sheetData>
    <row r="1" ht="13.5" customHeight="1">
      <c r="A1" s="11"/>
      <c r="B1" s="216" t="s">
        <v>143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11"/>
      <c r="B2" s="11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1"/>
      <c r="B3" s="1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217" t="s">
        <v>144</v>
      </c>
      <c r="B4" s="1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218"/>
      <c r="B5" s="1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20" t="s">
        <v>145</v>
      </c>
      <c r="B6" s="1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218"/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4"/>
      <c r="B8" s="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5"/>
      <c r="B9" s="1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23" t="s">
        <v>146</v>
      </c>
      <c r="B10" s="219">
        <f>SUM('Aufw.- Ertr-pl., Anl. 4, monatl'!B10:D10)+SUM('Aufw.- Ertr-pl., Anl. 4, monatl'!B13:D13)+SUM('Aufw.- Ertr-pl., Anl. 4, monatl'!B16:D16)</f>
        <v>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95" t="s">
        <v>147</v>
      </c>
      <c r="B11" s="220">
        <f>SUM('Aufw.- Ertr-pl., Anl. 4, monatl'!B11:G11)+SUM('Aufw.- Ertr-pl., Anl. 4, monatl'!B14:D14)+SUM('Aufw.- Ertr-pl., Anl. 4, monatl'!B14:G17)</f>
        <v>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95" t="s">
        <v>148</v>
      </c>
      <c r="B12" s="221">
        <f>SUM('Aufw.- Ertr-pl., Anl. 4, monatl'!B21:D21)</f>
        <v>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95" t="s">
        <v>149</v>
      </c>
      <c r="B13" s="222">
        <f>SUM('betr. Aufw, Anl.2, monatl.'!B28:D28)</f>
        <v>4230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95" t="s">
        <v>150</v>
      </c>
      <c r="B14" s="222">
        <f>'betr. Aufw, Anl.2, monatl.'!B34:D34</f>
        <v>6500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223"/>
      <c r="B15" s="22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3" t="s">
        <v>151</v>
      </c>
      <c r="B16" s="225">
        <f>SUM(B10:B15)</f>
        <v>10730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5"/>
      <c r="B17" s="4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0" t="s">
        <v>152</v>
      </c>
      <c r="B18" s="72"/>
      <c r="C18" s="226"/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 ht="14.25" customHeight="1">
      <c r="A19" s="15"/>
      <c r="B19" s="4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27" t="s">
        <v>3</v>
      </c>
      <c r="B20" s="228">
        <f>'Investitionen, Anl. 1'!B8</f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229" t="s">
        <v>23</v>
      </c>
      <c r="B21" s="230">
        <f>'Investitionen, Anl. 1'!B17</f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95" t="s">
        <v>154</v>
      </c>
      <c r="B22" s="220">
        <f>'Investitionen, Anl. 1'!B26</f>
        <v>2300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95" t="s">
        <v>155</v>
      </c>
      <c r="B23" s="220">
        <f>'Investitionen, Anl. 1'!B35</f>
        <v>500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95" t="s">
        <v>156</v>
      </c>
      <c r="B24" s="220">
        <f>'Investitionen, Anl. 1'!B48</f>
        <v>700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233" t="s">
        <v>72</v>
      </c>
      <c r="B25" s="235">
        <f>'Investitionen, Anl. 1'!B57</f>
        <v>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223"/>
      <c r="B26" s="22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3" t="s">
        <v>158</v>
      </c>
      <c r="B27" s="225">
        <f>SUM(B20:B25)</f>
        <v>3500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236"/>
      <c r="B28" s="23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217"/>
      <c r="B29" s="23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217"/>
      <c r="B30" s="23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240" t="s">
        <v>160</v>
      </c>
      <c r="B31" s="241">
        <f>SUM(B16+B27)</f>
        <v>14230</v>
      </c>
      <c r="C31" s="21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217"/>
      <c r="B32" s="242"/>
      <c r="C32" s="21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243"/>
      <c r="B33" s="24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243"/>
      <c r="B34" s="24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45" t="s">
        <v>161</v>
      </c>
      <c r="B35" s="24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 ht="15.0" customHeight="1">
      <c r="A36" s="245" t="s">
        <v>162</v>
      </c>
      <c r="B36" s="24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 ht="12.75" customHeight="1">
      <c r="A37" s="247" t="s">
        <v>163</v>
      </c>
      <c r="B37" s="24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249" t="s">
        <v>164</v>
      </c>
      <c r="B38" s="250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249" t="s">
        <v>165</v>
      </c>
      <c r="B39" s="25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249" t="s">
        <v>166</v>
      </c>
      <c r="B40" s="25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249" t="s">
        <v>167</v>
      </c>
      <c r="B41" s="25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49" t="s">
        <v>168</v>
      </c>
      <c r="B42" s="25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249" t="s">
        <v>169</v>
      </c>
      <c r="B43" s="25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252" t="s">
        <v>170</v>
      </c>
      <c r="B44" s="25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254" t="s">
        <v>171</v>
      </c>
      <c r="B45" s="253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</row>
    <row r="46" ht="13.5" customHeight="1">
      <c r="A46" s="256"/>
      <c r="B46" s="25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40" t="s">
        <v>172</v>
      </c>
      <c r="B47" s="241">
        <f>SUM(B37:B46)</f>
        <v>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38"/>
    <col customWidth="1" min="2" max="2" width="12.0"/>
    <col customWidth="1" min="3" max="3" width="11.88"/>
    <col customWidth="1" min="4" max="4" width="11.5"/>
    <col customWidth="1" min="5" max="25" width="10.0"/>
  </cols>
  <sheetData>
    <row r="1" ht="13.5" customHeight="1">
      <c r="A1" s="11"/>
      <c r="B1" s="11"/>
      <c r="C1" s="10"/>
      <c r="D1" s="216" t="s">
        <v>173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258"/>
      <c r="B2" s="11"/>
      <c r="C2" s="11"/>
      <c r="D2" s="11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17" t="s">
        <v>174</v>
      </c>
      <c r="B3" s="259"/>
      <c r="C3" s="259"/>
      <c r="D3" s="259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258"/>
      <c r="B4" s="11"/>
      <c r="C4" s="11"/>
      <c r="D4" s="11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</row>
    <row r="5" ht="18.0" customHeight="1">
      <c r="A5" s="258"/>
      <c r="B5" s="11"/>
      <c r="C5" s="11"/>
      <c r="D5" s="21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260"/>
      <c r="B6" s="261" t="s">
        <v>120</v>
      </c>
      <c r="C6" s="261" t="s">
        <v>18</v>
      </c>
      <c r="D6" s="262" t="s">
        <v>51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263" t="s">
        <v>175</v>
      </c>
      <c r="B7" s="264">
        <f>SUM('Aufw.- Ertr-pl., Anl. 4, monatl'!B18:M18)</f>
        <v>154510</v>
      </c>
      <c r="C7" s="264">
        <f>SUM('Aufw.- Ertr-pl., Anl. 4, quart'!B18:E18)</f>
        <v>200000</v>
      </c>
      <c r="D7" s="264">
        <f>SUM('Aufw.- Ertr-pl., Anl. 4, quart'!F18:I18)</f>
        <v>250000</v>
      </c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</row>
    <row r="8" ht="13.5" customHeight="1">
      <c r="A8" s="98" t="s">
        <v>176</v>
      </c>
      <c r="B8" s="265">
        <f>SUM('Aufw.- Ertr-pl., Anl. 4, monatl'!B10:M10)+SUM('Aufw.- Ertr-pl., Anl. 4, monatl'!B13:M13)+SUM('Aufw.- Ertr-pl., Anl. 4, monatl'!B16:M16)</f>
        <v>0</v>
      </c>
      <c r="C8" s="265">
        <f>SUM('Aufw.- Ertr-pl., Anl. 4, quart'!B10:E10)+SUM('Aufw.- Ertr-pl., Anl. 4, quart'!B13:E13)+SUM('Aufw.- Ertr-pl., Anl. 4, quart'!B16:E16)</f>
        <v>0</v>
      </c>
      <c r="D8" s="265">
        <f>SUM('Aufw.- Ertr-pl., Anl. 4, quart'!F10:I10)+SUM('Aufw.- Ertr-pl., Anl. 4, quart'!F13:I13)+SUM('Aufw.- Ertr-pl., Anl. 4, quart'!F16:I16)</f>
        <v>0</v>
      </c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</row>
    <row r="9" ht="14.25" customHeight="1">
      <c r="A9" s="98" t="s">
        <v>177</v>
      </c>
      <c r="B9" s="265">
        <f>SUM('Aufw.- Ertr-pl., Anl. 4, monatl'!B11:M11)+SUM('Aufw.- Ertr-pl., Anl. 4, monatl'!B14:M14)+SUM('Aufw.- Ertr-pl., Anl. 4, monatl'!B17:M17)</f>
        <v>0</v>
      </c>
      <c r="C9" s="265">
        <f>SUM('Aufw.- Ertr-pl., Anl. 4, quart'!B11:E11)+SUM('Aufw.- Ertr-pl., Anl. 4, quart'!B14:E14)+SUM('Aufw.- Ertr-pl., Anl. 4, quart'!B17:E17)</f>
        <v>0</v>
      </c>
      <c r="D9" s="265">
        <f>SUM('Aufw.- Ertr-pl., Anl. 4, quart'!F11:I11)+SUM('Aufw.- Ertr-pl., Anl. 4, quart'!F14:I14)+SUM('Aufw.- Ertr-pl., Anl. 4, quart'!F17:I17)</f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28"/>
      <c r="B10" s="266"/>
      <c r="C10" s="266"/>
      <c r="D10" s="26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28"/>
      <c r="B11" s="266"/>
      <c r="C11" s="266"/>
      <c r="D11" s="26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98" t="s">
        <v>178</v>
      </c>
      <c r="B12" s="265">
        <f>SUM('Aufw.- Ertr-pl., Anl. 4, monatl'!B23:M23)</f>
        <v>0</v>
      </c>
      <c r="C12" s="265">
        <f>SUM('Aufw.- Ertr-pl., Anl. 4, quart'!B23:E23)</f>
        <v>0</v>
      </c>
      <c r="D12" s="265">
        <f>SUM('Aufw.- Ertr-pl., Anl. 4, quart'!F23:I23)</f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263" t="s">
        <v>131</v>
      </c>
      <c r="B13" s="268">
        <f t="shared" ref="B13:D13" si="1">B7-SUM(B8:B11)+B12</f>
        <v>154510</v>
      </c>
      <c r="C13" s="268">
        <f t="shared" si="1"/>
        <v>200000</v>
      </c>
      <c r="D13" s="269">
        <f t="shared" si="1"/>
        <v>250000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63" t="s">
        <v>179</v>
      </c>
      <c r="B14" s="270"/>
      <c r="C14" s="270"/>
      <c r="D14" s="269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</row>
    <row r="15" ht="13.5" customHeight="1">
      <c r="A15" s="98" t="s">
        <v>180</v>
      </c>
      <c r="B15" s="265">
        <f>SUM('betr. Aufw, Anl.2, monatl.'!B28:M28)</f>
        <v>16920</v>
      </c>
      <c r="C15" s="265">
        <f>SUM('betr. Aufw, Anl.2,quart'!B25:E25)</f>
        <v>16920</v>
      </c>
      <c r="D15" s="265">
        <f>SUM('betr. Aufw, Anl.2,quart'!F25:I25)</f>
        <v>16920</v>
      </c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</row>
    <row r="16" ht="15.75" customHeight="1">
      <c r="A16" s="98" t="s">
        <v>181</v>
      </c>
      <c r="B16" s="265">
        <f>SUM('Aufw.- Ertr-pl., Anl. 4, monatl'!B21:M21)</f>
        <v>0</v>
      </c>
      <c r="C16" s="265">
        <f>SUM('Aufw.- Ertr-pl., Anl. 4, quart'!B21:E21)</f>
        <v>0</v>
      </c>
      <c r="D16" s="265">
        <f>SUM('Aufw.- Ertr-pl., Anl. 4, quart'!F21:I21)</f>
        <v>0</v>
      </c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</row>
    <row r="17" ht="17.25" customHeight="1">
      <c r="A17" s="28"/>
      <c r="B17" s="266"/>
      <c r="C17" s="266"/>
      <c r="D17" s="272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</row>
    <row r="18" ht="12.75" customHeight="1">
      <c r="A18" s="98" t="s">
        <v>182</v>
      </c>
      <c r="B18" s="273">
        <f>'Finanzbedarf netto, Anl. 5'!B40*4%</f>
        <v>0</v>
      </c>
      <c r="C18" s="265"/>
      <c r="D18" s="274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</row>
    <row r="19" ht="15.75" customHeight="1">
      <c r="A19" s="98" t="s">
        <v>183</v>
      </c>
      <c r="B19" s="265"/>
      <c r="C19" s="265"/>
      <c r="D19" s="275">
        <f>('Finanzbedarf netto, Anl. 5'!B40/8)</f>
        <v>0</v>
      </c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</row>
    <row r="20" ht="12.75" customHeight="1">
      <c r="A20" s="98" t="s">
        <v>184</v>
      </c>
      <c r="B20" s="273">
        <f>'Finanzbedarf netto, Anl. 5'!B40*9%</f>
        <v>0</v>
      </c>
      <c r="C20" s="273">
        <f>'Finanzbedarf netto, Anl. 5'!B40*7%</f>
        <v>0</v>
      </c>
      <c r="D20" s="273">
        <f>'Finanzbedarf netto, Anl. 5'!C40*9%</f>
        <v>0</v>
      </c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</row>
    <row r="21" ht="14.25" customHeight="1">
      <c r="A21" s="276" t="s">
        <v>185</v>
      </c>
      <c r="B21" s="273">
        <f>'Finanzbedarf netto, Anl. 5'!B39*2%</f>
        <v>0</v>
      </c>
      <c r="C21" s="265"/>
      <c r="D21" s="274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</row>
    <row r="22" ht="15.75" customHeight="1">
      <c r="A22" s="276" t="s">
        <v>186</v>
      </c>
      <c r="B22" s="273">
        <f>'Finanzbedarf netto, Anl. 5'!B39*8.56%</f>
        <v>0</v>
      </c>
      <c r="C22" s="273">
        <f>'Finanzbedarf netto, Anl. 5'!B39*7.87%</f>
        <v>0</v>
      </c>
      <c r="D22" s="275">
        <f>('Finanzbedarf netto, Anl. 5'!B39-D23)*(7.87%)</f>
        <v>0</v>
      </c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</row>
    <row r="23" ht="12.75" customHeight="1">
      <c r="A23" s="98" t="s">
        <v>187</v>
      </c>
      <c r="B23" s="265"/>
      <c r="C23" s="265"/>
      <c r="D23" s="275">
        <f>'Finanzbedarf netto, Anl. 5'!B39/8</f>
        <v>0</v>
      </c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</row>
    <row r="24" ht="12.75" customHeight="1">
      <c r="A24" s="277" t="s">
        <v>188</v>
      </c>
      <c r="B24" s="266"/>
      <c r="C24" s="266"/>
      <c r="D24" s="272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</row>
    <row r="25" ht="12.75" customHeight="1">
      <c r="A25" s="277" t="s">
        <v>189</v>
      </c>
      <c r="B25" s="266"/>
      <c r="C25" s="266"/>
      <c r="D25" s="267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</row>
    <row r="26" ht="12.75" customHeight="1">
      <c r="A26" s="277" t="s">
        <v>190</v>
      </c>
      <c r="B26" s="266"/>
      <c r="C26" s="266"/>
      <c r="D26" s="272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</row>
    <row r="27" ht="13.5" customHeight="1">
      <c r="A27" s="263" t="s">
        <v>191</v>
      </c>
      <c r="B27" s="265">
        <f t="shared" ref="B27:D27" si="2">B13+B39-SUM(B15:B26)</f>
        <v>137590</v>
      </c>
      <c r="C27" s="265">
        <f t="shared" si="2"/>
        <v>183080</v>
      </c>
      <c r="D27" s="265">
        <f t="shared" si="2"/>
        <v>233080</v>
      </c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</row>
    <row r="28" ht="13.5" customHeight="1">
      <c r="A28" s="98" t="s">
        <v>192</v>
      </c>
      <c r="B28" s="265">
        <f>SUM('Aufw.- Ertr-pl., Anl. 4, monatl'!B22:M22)</f>
        <v>0</v>
      </c>
      <c r="C28" s="265">
        <f>SUM('Aufw.- Ertr-pl., Anl. 4, quart'!B22:E22)</f>
        <v>0</v>
      </c>
      <c r="D28" s="265">
        <f>SUM('Aufw.- Ertr-pl., Anl. 4, quart'!F22:I22)</f>
        <v>0</v>
      </c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  <c r="Z28" s="255"/>
    </row>
    <row r="29" ht="12.75" customHeight="1">
      <c r="A29" s="28"/>
      <c r="B29" s="266"/>
      <c r="C29" s="266"/>
      <c r="D29" s="267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</row>
    <row r="30" ht="13.5" customHeight="1">
      <c r="A30" s="263" t="s">
        <v>193</v>
      </c>
      <c r="B30" s="268">
        <f t="shared" ref="B30:D30" si="3">B27-SUM(B28:B29)</f>
        <v>137590</v>
      </c>
      <c r="C30" s="268">
        <f t="shared" si="3"/>
        <v>183080</v>
      </c>
      <c r="D30" s="268">
        <f t="shared" si="3"/>
        <v>233080</v>
      </c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</row>
    <row r="31" ht="13.5" customHeight="1">
      <c r="A31" s="278"/>
      <c r="B31" s="279"/>
      <c r="C31" s="279"/>
      <c r="D31" s="279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0" customHeight="1">
      <c r="A32" s="280" t="s">
        <v>194</v>
      </c>
      <c r="B32" s="281"/>
      <c r="C32" s="281"/>
      <c r="D32" s="281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</row>
    <row r="33" ht="17.25" customHeight="1">
      <c r="A33" s="280" t="s">
        <v>195</v>
      </c>
      <c r="B33" s="281"/>
      <c r="C33" s="281"/>
      <c r="D33" s="281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</row>
    <row r="34" ht="17.25" customHeight="1">
      <c r="A34" s="280" t="s">
        <v>196</v>
      </c>
      <c r="B34" s="283"/>
      <c r="C34" s="283"/>
      <c r="D34" s="283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</row>
    <row r="35" ht="12.75" customHeight="1">
      <c r="A35" s="284"/>
      <c r="B35" s="285"/>
      <c r="C35" s="285"/>
      <c r="D35" s="28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286" t="s">
        <v>197</v>
      </c>
      <c r="B36" s="287">
        <f t="shared" ref="B36:D36" si="4">B30-SUM(B32:B34)</f>
        <v>137590</v>
      </c>
      <c r="C36" s="287">
        <f t="shared" si="4"/>
        <v>183080</v>
      </c>
      <c r="D36" s="287">
        <f t="shared" si="4"/>
        <v>233080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20"/>
      <c r="B37" s="288"/>
      <c r="C37" s="288"/>
      <c r="D37" s="28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28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289" t="s">
        <v>198</v>
      </c>
      <c r="B39" s="290">
        <f>SUM('Aufw.- Ertr-pl., Anl. 4, monatl'!B25:M25)</f>
        <v>0</v>
      </c>
      <c r="C39" s="290">
        <f>SUM('Aufw.- Ertr-pl., Anl. 4, quart'!B25:E25)</f>
        <v>0</v>
      </c>
      <c r="D39" s="290">
        <f>SUM('Aufw.- Ertr-pl., Anl. 4, quart'!F25:I25)</f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 t="s">
        <v>199</v>
      </c>
      <c r="B40" s="4">
        <f t="shared" ref="B40:D40" si="5">B36*27.32%</f>
        <v>37589.588</v>
      </c>
      <c r="C40" s="4">
        <f t="shared" si="5"/>
        <v>50017.456</v>
      </c>
      <c r="D40" s="4">
        <f t="shared" si="5"/>
        <v>63677.456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 t="s">
        <v>200</v>
      </c>
      <c r="B41" s="291">
        <f t="shared" ref="B41:D41" si="6">B36-B40</f>
        <v>100000.412</v>
      </c>
      <c r="C41" s="291">
        <f t="shared" si="6"/>
        <v>133062.544</v>
      </c>
      <c r="D41" s="291">
        <f t="shared" si="6"/>
        <v>169402.544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92"/>
      <c r="B42" s="293" t="s">
        <v>201</v>
      </c>
      <c r="C42" s="294"/>
      <c r="D42" s="293" t="s">
        <v>202</v>
      </c>
      <c r="E42" s="29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295" t="s">
        <v>203</v>
      </c>
      <c r="B43" s="292" t="s">
        <v>16</v>
      </c>
      <c r="C43" s="292" t="s">
        <v>204</v>
      </c>
      <c r="D43" s="292" t="s">
        <v>16</v>
      </c>
      <c r="E43" s="292" t="s">
        <v>204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296">
        <v>5000.0</v>
      </c>
      <c r="B44" s="292">
        <v>0.0</v>
      </c>
      <c r="C44" s="297">
        <v>0.0</v>
      </c>
      <c r="D44" s="298">
        <f t="shared" ref="D44:D53" si="7">A44*E44</f>
        <v>0</v>
      </c>
      <c r="E44" s="297">
        <v>0.0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296">
        <v>10000.0</v>
      </c>
      <c r="B45" s="298">
        <f t="shared" ref="B45:B53" si="8">A45*C45</f>
        <v>347</v>
      </c>
      <c r="C45" s="297">
        <v>0.0347</v>
      </c>
      <c r="D45" s="298">
        <f t="shared" si="7"/>
        <v>0</v>
      </c>
      <c r="E45" s="297">
        <v>0.0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296">
        <v>15000.0</v>
      </c>
      <c r="B46" s="298">
        <f t="shared" si="8"/>
        <v>1540.5</v>
      </c>
      <c r="C46" s="297">
        <v>0.1027</v>
      </c>
      <c r="D46" s="298">
        <f t="shared" si="7"/>
        <v>0</v>
      </c>
      <c r="E46" s="297">
        <v>0.0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296">
        <v>20000.0</v>
      </c>
      <c r="B47" s="298">
        <f t="shared" si="8"/>
        <v>2910</v>
      </c>
      <c r="C47" s="297">
        <v>0.1455</v>
      </c>
      <c r="D47" s="298">
        <f t="shared" si="7"/>
        <v>694</v>
      </c>
      <c r="E47" s="297">
        <v>0.0347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296">
        <v>25000.0</v>
      </c>
      <c r="B48" s="298">
        <f t="shared" si="8"/>
        <v>4397.5</v>
      </c>
      <c r="C48" s="297">
        <v>0.1759</v>
      </c>
      <c r="D48" s="298">
        <f t="shared" si="7"/>
        <v>1715</v>
      </c>
      <c r="E48" s="297">
        <v>0.0686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296">
        <v>30000.0</v>
      </c>
      <c r="B49" s="298">
        <f t="shared" si="8"/>
        <v>6009</v>
      </c>
      <c r="C49" s="297">
        <v>0.2003</v>
      </c>
      <c r="D49" s="298">
        <f t="shared" si="7"/>
        <v>3081</v>
      </c>
      <c r="E49" s="297">
        <v>0.1027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296">
        <v>35000.0</v>
      </c>
      <c r="B50" s="298">
        <f t="shared" si="8"/>
        <v>7742</v>
      </c>
      <c r="C50" s="297">
        <v>0.2212</v>
      </c>
      <c r="D50" s="298">
        <f t="shared" si="7"/>
        <v>4417</v>
      </c>
      <c r="E50" s="297">
        <v>0.1262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296">
        <v>40000.0</v>
      </c>
      <c r="B51" s="298">
        <f t="shared" si="8"/>
        <v>9596</v>
      </c>
      <c r="C51" s="297">
        <v>0.2399</v>
      </c>
      <c r="D51" s="298">
        <f t="shared" si="7"/>
        <v>5820</v>
      </c>
      <c r="E51" s="297">
        <v>0.1455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296">
        <v>45000.0</v>
      </c>
      <c r="B52" s="298">
        <f t="shared" si="8"/>
        <v>11569.5</v>
      </c>
      <c r="C52" s="297">
        <v>0.2571</v>
      </c>
      <c r="D52" s="298">
        <f t="shared" si="7"/>
        <v>7281</v>
      </c>
      <c r="E52" s="297">
        <v>0.1618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296">
        <v>50000.0</v>
      </c>
      <c r="B53" s="298">
        <f t="shared" si="8"/>
        <v>13660</v>
      </c>
      <c r="C53" s="297">
        <v>0.2732</v>
      </c>
      <c r="D53" s="298">
        <f t="shared" si="7"/>
        <v>8795</v>
      </c>
      <c r="E53" s="297">
        <v>0.1759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 t="s">
        <v>205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42:C42"/>
    <mergeCell ref="D42:E42"/>
  </mergeCells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10.0"/>
    <col customWidth="1" min="3" max="3" width="9.13"/>
    <col customWidth="1" min="4" max="5" width="9.0"/>
    <col customWidth="1" min="6" max="6" width="9.13"/>
    <col customWidth="1" min="7" max="8" width="9.38"/>
    <col customWidth="1" min="9" max="10" width="8.88"/>
    <col customWidth="1" min="11" max="11" width="9.0"/>
    <col customWidth="1" min="12" max="12" width="9.13"/>
    <col customWidth="1" min="13" max="13" width="11.38"/>
    <col customWidth="1" min="14" max="26" width="10.0"/>
  </cols>
  <sheetData>
    <row r="1" ht="13.5" customHeight="1">
      <c r="A1" s="15"/>
      <c r="B1" s="15"/>
      <c r="C1" s="15"/>
      <c r="D1" s="15"/>
      <c r="E1" s="15"/>
      <c r="F1" s="15"/>
      <c r="G1" s="15"/>
      <c r="H1" s="15"/>
      <c r="I1" s="6"/>
      <c r="J1" s="12"/>
      <c r="K1" s="12"/>
      <c r="L1" s="12"/>
      <c r="M1" s="6" t="s">
        <v>206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7" t="s">
        <v>207</v>
      </c>
      <c r="B2" s="165"/>
      <c r="C2" s="165"/>
      <c r="D2" s="165"/>
      <c r="E2" s="15"/>
      <c r="F2" s="15"/>
      <c r="G2" s="15"/>
      <c r="H2" s="15"/>
      <c r="I2" s="15"/>
      <c r="J2" s="12"/>
      <c r="K2" s="12"/>
      <c r="L2" s="12"/>
      <c r="M2" s="1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5"/>
      <c r="B3" s="15"/>
      <c r="C3" s="15"/>
      <c r="D3" s="15"/>
      <c r="E3" s="15"/>
      <c r="F3" s="15"/>
      <c r="G3" s="15"/>
      <c r="H3" s="15"/>
      <c r="I3" s="15"/>
      <c r="J3" s="12"/>
      <c r="K3" s="12"/>
      <c r="L3" s="12"/>
      <c r="M3" s="1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299"/>
      <c r="B4" s="300"/>
      <c r="C4" s="301" t="s">
        <v>120</v>
      </c>
      <c r="D4" s="301"/>
      <c r="E4" s="302"/>
      <c r="F4" s="300"/>
      <c r="G4" s="301" t="s">
        <v>18</v>
      </c>
      <c r="H4" s="301"/>
      <c r="I4" s="302"/>
      <c r="J4" s="300"/>
      <c r="K4" s="301" t="s">
        <v>51</v>
      </c>
      <c r="L4" s="301"/>
      <c r="M4" s="30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27" t="s">
        <v>54</v>
      </c>
      <c r="B5" s="303" t="s">
        <v>56</v>
      </c>
      <c r="C5" s="304" t="s">
        <v>58</v>
      </c>
      <c r="D5" s="304" t="s">
        <v>208</v>
      </c>
      <c r="E5" s="305" t="s">
        <v>209</v>
      </c>
      <c r="F5" s="303" t="s">
        <v>56</v>
      </c>
      <c r="G5" s="304" t="s">
        <v>58</v>
      </c>
      <c r="H5" s="304" t="s">
        <v>208</v>
      </c>
      <c r="I5" s="305" t="s">
        <v>209</v>
      </c>
      <c r="J5" s="303" t="s">
        <v>56</v>
      </c>
      <c r="K5" s="304" t="s">
        <v>58</v>
      </c>
      <c r="L5" s="304" t="s">
        <v>208</v>
      </c>
      <c r="M5" s="305" t="s">
        <v>209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306" t="s">
        <v>210</v>
      </c>
      <c r="B6" s="307">
        <f>SUM('Aufw.- Ertr-pl., Anl. 4, monatl'!B24:D24)</f>
        <v>22770</v>
      </c>
      <c r="C6" s="308">
        <f>SUM('Aufw.- Ertr-pl., Anl. 4, monatl'!E24:G24)</f>
        <v>31270</v>
      </c>
      <c r="D6" s="309">
        <f>SUM('Aufw.- Ertr-pl., Anl. 4, monatl'!H24:J24)</f>
        <v>36270</v>
      </c>
      <c r="E6" s="310">
        <f>SUM('Aufw.- Ertr-pl., Anl. 4, monatl'!K24:M24)</f>
        <v>47280</v>
      </c>
      <c r="F6" s="307">
        <f>'Aufw.- Ertr-pl., Anl. 4, quart'!B24</f>
        <v>40770</v>
      </c>
      <c r="G6" s="309">
        <f>'Aufw.- Ertr-pl., Anl. 4, quart'!C24</f>
        <v>43770</v>
      </c>
      <c r="H6" s="309">
        <f>'Aufw.- Ertr-pl., Anl. 4, quart'!D24</f>
        <v>47770</v>
      </c>
      <c r="I6" s="310">
        <f>'Aufw.- Ertr-pl., Anl. 4, quart'!E24</f>
        <v>50770</v>
      </c>
      <c r="J6" s="311">
        <f>'Aufw.- Ertr-pl., Anl. 4, quart'!F24</f>
        <v>53770</v>
      </c>
      <c r="K6" s="312">
        <f>'Aufw.- Ertr-pl., Anl. 4, quart'!G24</f>
        <v>57770</v>
      </c>
      <c r="L6" s="312">
        <f>'Aufw.- Ertr-pl., Anl. 4, quart'!H24</f>
        <v>59770</v>
      </c>
      <c r="M6" s="313">
        <f>'Aufw.- Ertr-pl., Anl. 4, quart'!I24</f>
        <v>61770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89" t="s">
        <v>211</v>
      </c>
      <c r="B7" s="314">
        <f>SUM('Aufw.- Ertr-pl., Anl. 4, monatl'!B22:D22)</f>
        <v>0</v>
      </c>
      <c r="C7" s="315">
        <f>SUM('Aufw.- Ertr-pl., Anl. 4, monatl'!E22:G22)</f>
        <v>0</v>
      </c>
      <c r="D7" s="290">
        <f>SUM('Aufw.- Ertr-pl., Anl. 4, monatl'!H22:J22)</f>
        <v>0</v>
      </c>
      <c r="E7" s="316">
        <f>SUM('Aufw.- Ertr-pl., Anl. 4, monatl'!K22:M22)</f>
        <v>0</v>
      </c>
      <c r="F7" s="314">
        <f>'Aufw.- Ertr-pl., Anl. 4, quart'!B22</f>
        <v>0</v>
      </c>
      <c r="G7" s="290">
        <f>'Aufw.- Ertr-pl., Anl. 4, quart'!C22</f>
        <v>0</v>
      </c>
      <c r="H7" s="317">
        <f>'Aufw.- Ertr-pl., Anl. 4, quart'!D22</f>
        <v>0</v>
      </c>
      <c r="I7" s="318">
        <f>'Aufw.- Ertr-pl., Anl. 4, quart'!E22</f>
        <v>0</v>
      </c>
      <c r="J7" s="314">
        <f>'Aufw.- Ertr-pl., Anl. 4, quart'!F22</f>
        <v>0</v>
      </c>
      <c r="K7" s="290">
        <f>'Aufw.- Ertr-pl., Anl. 4, quart'!G22</f>
        <v>0</v>
      </c>
      <c r="L7" s="317">
        <f>'Aufw.- Ertr-pl., Anl. 4, quart'!H22</f>
        <v>0</v>
      </c>
      <c r="M7" s="318">
        <f>'Aufw.- Ertr-pl., Anl. 4, quart'!I22</f>
        <v>0</v>
      </c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</row>
    <row r="8" ht="13.5" customHeight="1">
      <c r="A8" s="189" t="s">
        <v>212</v>
      </c>
      <c r="B8" s="314">
        <v>0.0</v>
      </c>
      <c r="C8" s="319"/>
      <c r="D8" s="319"/>
      <c r="E8" s="267"/>
      <c r="F8" s="320"/>
      <c r="G8" s="319"/>
      <c r="H8" s="321"/>
      <c r="I8" s="322"/>
      <c r="J8" s="320"/>
      <c r="K8" s="319"/>
      <c r="L8" s="321"/>
      <c r="M8" s="323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</row>
    <row r="9" ht="13.5" customHeight="1">
      <c r="A9" s="189" t="s">
        <v>213</v>
      </c>
      <c r="B9" s="314">
        <f>'Finanzbedarf netto, Anl. 5'!B42/3</f>
        <v>0</v>
      </c>
      <c r="C9" s="319"/>
      <c r="D9" s="319"/>
      <c r="E9" s="267"/>
      <c r="F9" s="320"/>
      <c r="G9" s="319"/>
      <c r="H9" s="321"/>
      <c r="I9" s="322"/>
      <c r="J9" s="320"/>
      <c r="K9" s="319"/>
      <c r="L9" s="321"/>
      <c r="M9" s="323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</row>
    <row r="10" ht="13.5" customHeight="1">
      <c r="A10" s="189" t="s">
        <v>214</v>
      </c>
      <c r="B10" s="314">
        <f>SUM('Finanzbedarf netto, Anl. 5'!B40)</f>
        <v>0</v>
      </c>
      <c r="C10" s="319"/>
      <c r="D10" s="319"/>
      <c r="E10" s="267"/>
      <c r="F10" s="320"/>
      <c r="G10" s="319"/>
      <c r="H10" s="321"/>
      <c r="I10" s="322"/>
      <c r="J10" s="320"/>
      <c r="K10" s="319"/>
      <c r="L10" s="319"/>
      <c r="M10" s="267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</row>
    <row r="11" ht="13.5" customHeight="1">
      <c r="A11" s="189" t="s">
        <v>215</v>
      </c>
      <c r="B11" s="314">
        <f>SUM('Aufw.- Ertr-pl., Anl. 4, monatl'!B25:D25)</f>
        <v>0</v>
      </c>
      <c r="C11" s="315">
        <f>SUM('Aufw.- Ertr-pl., Anl. 4, monatl'!E25:G25)</f>
        <v>0</v>
      </c>
      <c r="D11" s="290">
        <f>SUM('Aufw.- Ertr-pl., Anl. 4, monatl'!H25:J25)</f>
        <v>0</v>
      </c>
      <c r="E11" s="275">
        <f>SUM('Aufw.- Ertr-pl., Anl. 4, monatl'!K25:M25)</f>
        <v>0</v>
      </c>
      <c r="F11" s="314">
        <f>'Aufw.- Ertr-pl., Anl. 4, quart'!B25</f>
        <v>0</v>
      </c>
      <c r="G11" s="290">
        <f>'Aufw.- Ertr-pl., Anl. 4, quart'!C25</f>
        <v>0</v>
      </c>
      <c r="H11" s="317">
        <f>'Aufw.- Ertr-pl., Anl. 4, quart'!D25</f>
        <v>0</v>
      </c>
      <c r="I11" s="318">
        <f>'Aufw.- Ertr-pl., Anl. 4, quart'!E25</f>
        <v>0</v>
      </c>
      <c r="J11" s="314"/>
      <c r="K11" s="290"/>
      <c r="L11" s="290"/>
      <c r="M11" s="27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</row>
    <row r="12" ht="13.5" customHeight="1">
      <c r="A12" s="189" t="s">
        <v>216</v>
      </c>
      <c r="B12" s="314">
        <f>'Investitionen, Anl. 1'!B59</f>
        <v>3500</v>
      </c>
      <c r="C12" s="319"/>
      <c r="D12" s="319"/>
      <c r="E12" s="267"/>
      <c r="F12" s="320"/>
      <c r="G12" s="319"/>
      <c r="H12" s="321"/>
      <c r="I12" s="322"/>
      <c r="J12" s="320"/>
      <c r="K12" s="319"/>
      <c r="L12" s="319"/>
      <c r="M12" s="267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</row>
    <row r="13" ht="13.5" customHeight="1">
      <c r="A13" s="198" t="s">
        <v>217</v>
      </c>
      <c r="B13" s="314">
        <f>'betr. Aufw, Anl.2, monatl.'!B32+B28</f>
        <v>300</v>
      </c>
      <c r="C13" s="290">
        <f>'betr. Aufw, Anl.2, monatl.'!C32+C28</f>
        <v>0</v>
      </c>
      <c r="D13" s="290">
        <f>'betr. Aufw, Anl.2, monatl.'!D32+D28</f>
        <v>0</v>
      </c>
      <c r="E13" s="275">
        <f>'betr. Aufw, Anl.2, monatl.'!E32+E28</f>
        <v>0</v>
      </c>
      <c r="F13" s="314">
        <f>'betr. Aufw, Anl.2, monatl.'!F32+F28</f>
        <v>0</v>
      </c>
      <c r="G13" s="290">
        <f>'betr. Aufw, Anl.2, monatl.'!G32+G28</f>
        <v>0</v>
      </c>
      <c r="H13" s="316">
        <f>'betr. Aufw, Anl.2, monatl.'!H32+H28</f>
        <v>0</v>
      </c>
      <c r="I13" s="315">
        <f>'betr. Aufw, Anl.2, monatl.'!I32+I28</f>
        <v>0</v>
      </c>
      <c r="J13" s="314">
        <f>'betr. Aufw, Anl.2, monatl.'!J32+J28</f>
        <v>0</v>
      </c>
      <c r="K13" s="290">
        <f>'betr. Aufw, Anl.2, monatl.'!K32+K28</f>
        <v>0</v>
      </c>
      <c r="L13" s="290">
        <f>'betr. Aufw, Anl.2, monatl.'!L32+L28</f>
        <v>0</v>
      </c>
      <c r="M13" s="275">
        <f>'betr. Aufw, Anl.2, monatl.'!M32+M28</f>
        <v>0</v>
      </c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</row>
    <row r="14" ht="13.5" customHeight="1">
      <c r="A14" s="189" t="s">
        <v>218</v>
      </c>
      <c r="B14" s="314">
        <f>'Rentabilitätsvorschau, Anl. 6'!B19/4</f>
        <v>0</v>
      </c>
      <c r="C14" s="290">
        <f>'Rentabilitätsvorschau, Anl. 6'!B19/4</f>
        <v>0</v>
      </c>
      <c r="D14" s="290">
        <f>'Rentabilitätsvorschau, Anl. 6'!B19/4</f>
        <v>0</v>
      </c>
      <c r="E14" s="275">
        <f>'Rentabilitätsvorschau, Anl. 6'!B19/4</f>
        <v>0</v>
      </c>
      <c r="F14" s="314">
        <f>'Rentabilitätsvorschau, Anl. 6'!C19/4</f>
        <v>0</v>
      </c>
      <c r="G14" s="290">
        <f>'Rentabilitätsvorschau, Anl. 6'!C19/4</f>
        <v>0</v>
      </c>
      <c r="H14" s="316">
        <f>'Rentabilitätsvorschau, Anl. 6'!C19/4</f>
        <v>0</v>
      </c>
      <c r="I14" s="315">
        <f>'Rentabilitätsvorschau, Anl. 6'!C19/4</f>
        <v>0</v>
      </c>
      <c r="J14" s="314">
        <f>'Rentabilitätsvorschau, Anl. 6'!D19/4</f>
        <v>0</v>
      </c>
      <c r="K14" s="290">
        <f>'Rentabilitätsvorschau, Anl. 6'!D19/4</f>
        <v>0</v>
      </c>
      <c r="L14" s="290">
        <f>'Rentabilitätsvorschau, Anl. 6'!D19/4</f>
        <v>0</v>
      </c>
      <c r="M14" s="275">
        <f>'Rentabilitätsvorschau, Anl. 6'!D19/4</f>
        <v>0</v>
      </c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</row>
    <row r="15" ht="13.5" customHeight="1">
      <c r="A15" s="189" t="s">
        <v>219</v>
      </c>
      <c r="B15" s="314">
        <f>'Rentabilitätsvorschau, Anl. 6'!B20/4</f>
        <v>0</v>
      </c>
      <c r="C15" s="290">
        <f>'Rentabilitätsvorschau, Anl. 6'!B20/4</f>
        <v>0</v>
      </c>
      <c r="D15" s="290">
        <f>'Rentabilitätsvorschau, Anl. 6'!B20/4</f>
        <v>0</v>
      </c>
      <c r="E15" s="275">
        <f>'Rentabilitätsvorschau, Anl. 6'!B20/4</f>
        <v>0</v>
      </c>
      <c r="F15" s="314">
        <f>'Rentabilitätsvorschau, Anl. 6'!C20/4</f>
        <v>0</v>
      </c>
      <c r="G15" s="290">
        <f>'Rentabilitätsvorschau, Anl. 6'!C20/4</f>
        <v>0</v>
      </c>
      <c r="H15" s="316">
        <f>'Rentabilitätsvorschau, Anl. 6'!C20/4</f>
        <v>0</v>
      </c>
      <c r="I15" s="315">
        <f>'Rentabilitätsvorschau, Anl. 6'!C20/4</f>
        <v>0</v>
      </c>
      <c r="J15" s="314">
        <f>'Rentabilitätsvorschau, Anl. 6'!D20/4</f>
        <v>0</v>
      </c>
      <c r="K15" s="290">
        <f>'Rentabilitätsvorschau, Anl. 6'!D20/4</f>
        <v>0</v>
      </c>
      <c r="L15" s="290">
        <f>'Rentabilitätsvorschau, Anl. 6'!D20/4</f>
        <v>0</v>
      </c>
      <c r="M15" s="275">
        <f>'Rentabilitätsvorschau, Anl. 6'!D20/4</f>
        <v>0</v>
      </c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</row>
    <row r="16" ht="13.5" customHeight="1">
      <c r="A16" s="189" t="s">
        <v>220</v>
      </c>
      <c r="B16" s="314">
        <f>'Rentabilitätsvorschau, Anl. 6'!B23/4</f>
        <v>0</v>
      </c>
      <c r="C16" s="290">
        <f>'Rentabilitätsvorschau, Anl. 6'!B23/4</f>
        <v>0</v>
      </c>
      <c r="D16" s="290">
        <f>'Rentabilitätsvorschau, Anl. 6'!B23/4</f>
        <v>0</v>
      </c>
      <c r="E16" s="275">
        <f>'Rentabilitätsvorschau, Anl. 6'!B23/4</f>
        <v>0</v>
      </c>
      <c r="F16" s="314">
        <f>'Rentabilitätsvorschau, Anl. 6'!C23/4</f>
        <v>0</v>
      </c>
      <c r="G16" s="290">
        <f>'Rentabilitätsvorschau, Anl. 6'!C23/4</f>
        <v>0</v>
      </c>
      <c r="H16" s="316">
        <f>'Rentabilitätsvorschau, Anl. 6'!C23/4</f>
        <v>0</v>
      </c>
      <c r="I16" s="315">
        <f>'Rentabilitätsvorschau, Anl. 6'!C23/4</f>
        <v>0</v>
      </c>
      <c r="J16" s="314">
        <f>'Rentabilitätsvorschau, Anl. 6'!D23/4</f>
        <v>0</v>
      </c>
      <c r="K16" s="290">
        <f>'Rentabilitätsvorschau, Anl. 6'!D23/4</f>
        <v>0</v>
      </c>
      <c r="L16" s="290">
        <f>'Rentabilitätsvorschau, Anl. 6'!D23/4</f>
        <v>0</v>
      </c>
      <c r="M16" s="275">
        <f>'Rentabilitätsvorschau, Anl. 6'!D23/4</f>
        <v>0</v>
      </c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</row>
    <row r="17" ht="13.5" customHeight="1">
      <c r="A17" s="189" t="s">
        <v>221</v>
      </c>
      <c r="B17" s="314">
        <f>'Rentabilitätsvorschau, Anl. 6'!B25/4</f>
        <v>0</v>
      </c>
      <c r="C17" s="290">
        <f>'Rentabilitätsvorschau, Anl. 6'!B25/4</f>
        <v>0</v>
      </c>
      <c r="D17" s="290">
        <f>'Rentabilitätsvorschau, Anl. 6'!B25/4</f>
        <v>0</v>
      </c>
      <c r="E17" s="275">
        <f>'Rentabilitätsvorschau, Anl. 6'!B25/4</f>
        <v>0</v>
      </c>
      <c r="F17" s="314">
        <f>'Rentabilitätsvorschau, Anl. 6'!C25/4</f>
        <v>0</v>
      </c>
      <c r="G17" s="290">
        <f>'Rentabilitätsvorschau, Anl. 6'!C25/4</f>
        <v>0</v>
      </c>
      <c r="H17" s="316">
        <f>'Rentabilitätsvorschau, Anl. 6'!C25/4</f>
        <v>0</v>
      </c>
      <c r="I17" s="317">
        <f>'Rentabilitätsvorschau, Anl. 6'!C25/4</f>
        <v>0</v>
      </c>
      <c r="J17" s="314">
        <f>'Rentabilitätsvorschau, Anl. 6'!D25/4</f>
        <v>0</v>
      </c>
      <c r="K17" s="290">
        <f>'Rentabilitätsvorschau, Anl. 6'!D25/4</f>
        <v>0</v>
      </c>
      <c r="L17" s="290">
        <f>'Rentabilitätsvorschau, Anl. 6'!D25/4</f>
        <v>0</v>
      </c>
      <c r="M17" s="275">
        <f>'Rentabilitätsvorschau, Anl. 6'!D25/4</f>
        <v>0</v>
      </c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</row>
    <row r="18" ht="13.5" customHeight="1">
      <c r="A18" s="189" t="s">
        <v>222</v>
      </c>
      <c r="B18" s="314">
        <f>'Rentabilitätsvorschau, Anl. 6'!B25/4</f>
        <v>0</v>
      </c>
      <c r="C18" s="290">
        <f>'Rentabilitätsvorschau, Anl. 6'!B25/4</f>
        <v>0</v>
      </c>
      <c r="D18" s="290">
        <f>'Rentabilitätsvorschau, Anl. 6'!B25/4</f>
        <v>0</v>
      </c>
      <c r="E18" s="275">
        <f>'Rentabilitätsvorschau, Anl. 6'!E26/4</f>
        <v>0</v>
      </c>
      <c r="F18" s="314">
        <f>'Rentabilitätsvorschau, Anl. 6'!C25/4</f>
        <v>0</v>
      </c>
      <c r="G18" s="290">
        <f>'Rentabilitätsvorschau, Anl. 6'!C25/4</f>
        <v>0</v>
      </c>
      <c r="H18" s="316">
        <f>'Rentabilitätsvorschau, Anl. 6'!C25/4</f>
        <v>0</v>
      </c>
      <c r="I18" s="317">
        <f>'Rentabilitätsvorschau, Anl. 6'!C25/4</f>
        <v>0</v>
      </c>
      <c r="J18" s="314">
        <f>'Rentabilitätsvorschau, Anl. 6'!D25/4</f>
        <v>0</v>
      </c>
      <c r="K18" s="290">
        <f>'Rentabilitätsvorschau, Anl. 6'!D25/4</f>
        <v>0</v>
      </c>
      <c r="L18" s="290">
        <f>'Rentabilitätsvorschau, Anl. 6'!D25/4</f>
        <v>0</v>
      </c>
      <c r="M18" s="275">
        <f>'Rentabilitätsvorschau, Anl. 6'!D25/4</f>
        <v>0</v>
      </c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</row>
    <row r="19" ht="13.5" customHeight="1">
      <c r="A19" s="189" t="s">
        <v>223</v>
      </c>
      <c r="B19" s="314">
        <f>'Rentabilitätsvorschau, Anl. 6'!B18+'Rentabilitätsvorschau, Anl. 6'!B21+'Rentabilitätsvorschau, Anl. 6'!B24</f>
        <v>0</v>
      </c>
      <c r="C19" s="319"/>
      <c r="D19" s="319"/>
      <c r="E19" s="267"/>
      <c r="F19" s="320"/>
      <c r="G19" s="319"/>
      <c r="H19" s="321"/>
      <c r="I19" s="324"/>
      <c r="J19" s="320"/>
      <c r="K19" s="319"/>
      <c r="L19" s="319"/>
      <c r="M19" s="267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</row>
    <row r="20" ht="13.5" customHeight="1">
      <c r="A20" s="189" t="s">
        <v>226</v>
      </c>
      <c r="B20" s="320"/>
      <c r="C20" s="319"/>
      <c r="D20" s="319"/>
      <c r="E20" s="267"/>
      <c r="F20" s="320"/>
      <c r="G20" s="319"/>
      <c r="H20" s="321"/>
      <c r="I20" s="322"/>
      <c r="J20" s="326"/>
      <c r="K20" s="319"/>
      <c r="L20" s="319"/>
      <c r="M20" s="267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</row>
    <row r="21" ht="13.5" customHeight="1">
      <c r="A21" s="189" t="s">
        <v>227</v>
      </c>
      <c r="B21" s="314">
        <f>SUM('Aufw.- Ertr-pl., Anl. 4, monatl'!B26:D26)</f>
        <v>8295</v>
      </c>
      <c r="C21" s="315">
        <f>SUM('Aufw.- Ertr-pl., Anl. 4, monatl'!E26:G26)</f>
        <v>8295</v>
      </c>
      <c r="D21" s="290">
        <f>SUM('Aufw.- Ertr-pl., Anl. 4, monatl'!H26:J26)</f>
        <v>8295</v>
      </c>
      <c r="E21" s="316">
        <f>SUM('Aufw.- Ertr-pl., Anl. 4, monatl'!K26:M26)</f>
        <v>8295</v>
      </c>
      <c r="F21" s="314">
        <f>'Aufw.- Ertr-pl., Anl. 4, quart'!B26</f>
        <v>8295</v>
      </c>
      <c r="G21" s="290">
        <f>'Aufw.- Ertr-pl., Anl. 4, quart'!C26</f>
        <v>8295</v>
      </c>
      <c r="H21" s="317">
        <f>'Aufw.- Ertr-pl., Anl. 4, quart'!D26</f>
        <v>8295</v>
      </c>
      <c r="I21" s="318">
        <f>'Aufw.- Ertr-pl., Anl. 4, quart'!E26</f>
        <v>8295</v>
      </c>
      <c r="J21" s="338">
        <f>'Aufw.- Ertr-pl., Anl. 4, quart'!F26</f>
        <v>8295</v>
      </c>
      <c r="K21" s="290">
        <f>'Aufw.- Ertr-pl., Anl. 4, quart'!G26</f>
        <v>8295</v>
      </c>
      <c r="L21" s="290">
        <f>'Aufw.- Ertr-pl., Anl. 4, quart'!H26</f>
        <v>8295</v>
      </c>
      <c r="M21" s="275">
        <f>'Aufw.- Ertr-pl., Anl. 4, quart'!I26</f>
        <v>8295</v>
      </c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</row>
    <row r="22" ht="13.5" customHeight="1">
      <c r="A22" s="189" t="s">
        <v>229</v>
      </c>
      <c r="B22" s="338">
        <f>'Ermittlung der MwSt., Anl. 8'!B32</f>
        <v>5130</v>
      </c>
      <c r="C22" s="290">
        <f>'Ermittlung der MwSt., Anl. 8'!C32</f>
        <v>5941.3</v>
      </c>
      <c r="D22" s="290">
        <f>'Ermittlung der MwSt., Anl. 8'!D32</f>
        <v>7159.2</v>
      </c>
      <c r="E22" s="318">
        <f>'Ermittlung der MwSt., Anl. 8'!E32</f>
        <v>8983.2</v>
      </c>
      <c r="F22" s="338">
        <f>'Ermittlung der MwSt., Anl. 8'!F32</f>
        <v>7746.3</v>
      </c>
      <c r="G22" s="290">
        <f>'Ermittlung der MwSt., Anl. 8'!G32</f>
        <v>8316.3</v>
      </c>
      <c r="H22" s="290">
        <f>'Ermittlung der MwSt., Anl. 8'!H32</f>
        <v>9076.3</v>
      </c>
      <c r="I22" s="315">
        <f>'Ermittlung der MwSt., Anl. 8'!I32</f>
        <v>9646.3</v>
      </c>
      <c r="J22" s="338">
        <f>'Ermittlung der MwSt., Anl. 8'!J32</f>
        <v>10216.3</v>
      </c>
      <c r="K22" s="290">
        <f>'Ermittlung der MwSt., Anl. 8'!K32</f>
        <v>10976.3</v>
      </c>
      <c r="L22" s="290">
        <f>'Ermittlung der MwSt., Anl. 8'!L32</f>
        <v>11356.3</v>
      </c>
      <c r="M22" s="318">
        <f>'Ermittlung der MwSt., Anl. 8'!M32</f>
        <v>11736.3</v>
      </c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</row>
    <row r="23" ht="13.5" customHeight="1">
      <c r="A23" s="341"/>
      <c r="B23" s="342"/>
      <c r="C23" s="343"/>
      <c r="D23" s="343"/>
      <c r="E23" s="344"/>
      <c r="F23" s="342"/>
      <c r="G23" s="343"/>
      <c r="H23" s="343"/>
      <c r="I23" s="345"/>
      <c r="J23" s="326"/>
      <c r="K23" s="319"/>
      <c r="L23" s="319"/>
      <c r="M23" s="323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</row>
    <row r="24" ht="14.25" customHeight="1">
      <c r="A24" s="346"/>
      <c r="B24" s="347"/>
      <c r="C24" s="348"/>
      <c r="D24" s="348"/>
      <c r="E24" s="349"/>
      <c r="F24" s="347"/>
      <c r="G24" s="348"/>
      <c r="H24" s="348"/>
      <c r="I24" s="350"/>
      <c r="J24" s="347"/>
      <c r="K24" s="348"/>
      <c r="L24" s="348"/>
      <c r="M24" s="349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</row>
    <row r="25" ht="13.5" customHeight="1">
      <c r="A25" s="351" t="s">
        <v>232</v>
      </c>
      <c r="B25" s="352">
        <v>0.0</v>
      </c>
      <c r="C25" s="353">
        <f t="shared" ref="C25:M25" si="1">C6+SUM(C7:C11)-SUM(C12:C21)+C22</f>
        <v>28916.3</v>
      </c>
      <c r="D25" s="353">
        <f t="shared" si="1"/>
        <v>35134.2</v>
      </c>
      <c r="E25" s="354">
        <f t="shared" si="1"/>
        <v>47968.2</v>
      </c>
      <c r="F25" s="352">
        <f t="shared" si="1"/>
        <v>40221.3</v>
      </c>
      <c r="G25" s="353">
        <f t="shared" si="1"/>
        <v>43791.3</v>
      </c>
      <c r="H25" s="353">
        <f t="shared" si="1"/>
        <v>48551.3</v>
      </c>
      <c r="I25" s="355">
        <f t="shared" si="1"/>
        <v>52121.3</v>
      </c>
      <c r="J25" s="356">
        <f t="shared" si="1"/>
        <v>55691.3</v>
      </c>
      <c r="K25" s="308">
        <f t="shared" si="1"/>
        <v>60451.3</v>
      </c>
      <c r="L25" s="308">
        <f t="shared" si="1"/>
        <v>62831.3</v>
      </c>
      <c r="M25" s="310">
        <f t="shared" si="1"/>
        <v>65211.3</v>
      </c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</row>
    <row r="26" ht="15.75" customHeight="1">
      <c r="A26" s="357" t="s">
        <v>234</v>
      </c>
      <c r="B26" s="358"/>
      <c r="C26" s="359">
        <f>B25+C25</f>
        <v>28916.3</v>
      </c>
      <c r="D26" s="359">
        <f t="shared" ref="D26:M26" si="2">C26+D25</f>
        <v>64050.5</v>
      </c>
      <c r="E26" s="360">
        <f t="shared" si="2"/>
        <v>112018.7</v>
      </c>
      <c r="F26" s="361">
        <f t="shared" si="2"/>
        <v>152240</v>
      </c>
      <c r="G26" s="359">
        <f t="shared" si="2"/>
        <v>196031.3</v>
      </c>
      <c r="H26" s="359">
        <f t="shared" si="2"/>
        <v>244582.6</v>
      </c>
      <c r="I26" s="362">
        <f t="shared" si="2"/>
        <v>296703.9</v>
      </c>
      <c r="J26" s="361">
        <f t="shared" si="2"/>
        <v>352395.2</v>
      </c>
      <c r="K26" s="359">
        <f t="shared" si="2"/>
        <v>412846.5</v>
      </c>
      <c r="L26" s="359">
        <f t="shared" si="2"/>
        <v>475677.8</v>
      </c>
      <c r="M26" s="360">
        <f t="shared" si="2"/>
        <v>540889.1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63"/>
    <col customWidth="1" min="2" max="13" width="8.38"/>
    <col customWidth="1" min="14" max="26" width="10.0"/>
  </cols>
  <sheetData>
    <row r="1" ht="13.5" customHeight="1">
      <c r="A1" s="15"/>
      <c r="B1" s="15"/>
      <c r="C1" s="15"/>
      <c r="D1" s="15"/>
      <c r="E1" s="15"/>
      <c r="F1" s="15"/>
      <c r="G1" s="15"/>
      <c r="H1" s="15"/>
      <c r="I1" s="163"/>
      <c r="J1" s="12"/>
      <c r="K1" s="12"/>
      <c r="L1" s="12"/>
      <c r="M1" s="163" t="s">
        <v>224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7" t="s">
        <v>225</v>
      </c>
      <c r="B2" s="7"/>
      <c r="C2" s="7"/>
      <c r="D2" s="7"/>
      <c r="E2" s="9"/>
      <c r="F2" s="9"/>
      <c r="G2" s="9"/>
      <c r="H2" s="9"/>
      <c r="I2" s="9"/>
      <c r="J2" s="325"/>
      <c r="K2" s="325"/>
      <c r="L2" s="325"/>
      <c r="M2" s="325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</row>
    <row r="3" ht="14.25" customHeight="1">
      <c r="A3" s="327"/>
      <c r="B3" s="15"/>
      <c r="C3" s="15"/>
      <c r="D3" s="15"/>
      <c r="E3" s="15"/>
      <c r="F3" s="15"/>
      <c r="G3" s="15"/>
      <c r="H3" s="15"/>
      <c r="I3" s="15"/>
      <c r="J3" s="12"/>
      <c r="K3" s="12"/>
      <c r="L3" s="12"/>
      <c r="M3" s="1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328"/>
      <c r="B4" s="329" t="s">
        <v>120</v>
      </c>
      <c r="C4" s="330"/>
      <c r="D4" s="330"/>
      <c r="E4" s="331"/>
      <c r="F4" s="329" t="s">
        <v>18</v>
      </c>
      <c r="G4" s="330"/>
      <c r="H4" s="330"/>
      <c r="I4" s="331"/>
      <c r="J4" s="329" t="s">
        <v>51</v>
      </c>
      <c r="K4" s="330"/>
      <c r="L4" s="330"/>
      <c r="M4" s="331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</row>
    <row r="5" ht="14.25" customHeight="1">
      <c r="A5" s="332" t="s">
        <v>54</v>
      </c>
      <c r="B5" s="333" t="s">
        <v>56</v>
      </c>
      <c r="C5" s="334" t="s">
        <v>58</v>
      </c>
      <c r="D5" s="334" t="s">
        <v>59</v>
      </c>
      <c r="E5" s="335" t="s">
        <v>61</v>
      </c>
      <c r="F5" s="333" t="s">
        <v>56</v>
      </c>
      <c r="G5" s="334" t="s">
        <v>58</v>
      </c>
      <c r="H5" s="334" t="s">
        <v>59</v>
      </c>
      <c r="I5" s="335" t="s">
        <v>61</v>
      </c>
      <c r="J5" s="333" t="s">
        <v>56</v>
      </c>
      <c r="K5" s="334" t="s">
        <v>58</v>
      </c>
      <c r="L5" s="334" t="s">
        <v>59</v>
      </c>
      <c r="M5" s="335" t="s">
        <v>61</v>
      </c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</row>
    <row r="6" ht="12.75" customHeight="1">
      <c r="A6" s="173" t="s">
        <v>228</v>
      </c>
      <c r="B6" s="337">
        <f>SUM('Aufw.- Ertr-pl., Anl. 4, monatl'!B18:D18)</f>
        <v>27000</v>
      </c>
      <c r="C6" s="339">
        <f>SUM('Aufw.- Ertr-pl., Anl. 4, monatl'!E18:G18)</f>
        <v>35500</v>
      </c>
      <c r="D6" s="339">
        <f>SUM('Aufw.- Ertr-pl., Anl. 4, monatl'!H18:J18)</f>
        <v>40500</v>
      </c>
      <c r="E6" s="339">
        <f>SUM('Aufw.- Ertr-pl., Anl. 4, monatl'!K18:M18)</f>
        <v>51510</v>
      </c>
      <c r="F6" s="339">
        <f>'Aufw.- Ertr-pl., Anl. 4, quart'!B18</f>
        <v>45000</v>
      </c>
      <c r="G6" s="339">
        <f>'Aufw.- Ertr-pl., Anl. 4, quart'!C18</f>
        <v>48000</v>
      </c>
      <c r="H6" s="339">
        <f>'Aufw.- Ertr-pl., Anl. 4, quart'!D18</f>
        <v>52000</v>
      </c>
      <c r="I6" s="339">
        <f>'Aufw.- Ertr-pl., Anl. 4, quart'!E18</f>
        <v>55000</v>
      </c>
      <c r="J6" s="339">
        <f>'Aufw.- Ertr-pl., Anl. 4, quart'!F18</f>
        <v>58000</v>
      </c>
      <c r="K6" s="339">
        <f>'Aufw.- Ertr-pl., Anl. 4, quart'!G18</f>
        <v>62000</v>
      </c>
      <c r="L6" s="339">
        <f>'Aufw.- Ertr-pl., Anl. 4, quart'!H18</f>
        <v>64000</v>
      </c>
      <c r="M6" s="340">
        <f>'Aufw.- Ertr-pl., Anl. 4, quart'!I18</f>
        <v>66000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89" t="s">
        <v>230</v>
      </c>
      <c r="B7" s="338">
        <f t="shared" ref="B7:M7" si="1">B6*19%</f>
        <v>5130</v>
      </c>
      <c r="C7" s="290">
        <f t="shared" si="1"/>
        <v>6745</v>
      </c>
      <c r="D7" s="290">
        <f t="shared" si="1"/>
        <v>7695</v>
      </c>
      <c r="E7" s="290">
        <f t="shared" si="1"/>
        <v>9786.9</v>
      </c>
      <c r="F7" s="290">
        <f t="shared" si="1"/>
        <v>8550</v>
      </c>
      <c r="G7" s="290">
        <f t="shared" si="1"/>
        <v>9120</v>
      </c>
      <c r="H7" s="290">
        <f t="shared" si="1"/>
        <v>9880</v>
      </c>
      <c r="I7" s="290">
        <f t="shared" si="1"/>
        <v>10450</v>
      </c>
      <c r="J7" s="290">
        <f t="shared" si="1"/>
        <v>11020</v>
      </c>
      <c r="K7" s="290">
        <f t="shared" si="1"/>
        <v>11780</v>
      </c>
      <c r="L7" s="290">
        <f t="shared" si="1"/>
        <v>12160</v>
      </c>
      <c r="M7" s="318">
        <f t="shared" si="1"/>
        <v>12540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89" t="s">
        <v>231</v>
      </c>
      <c r="B8" s="190">
        <f t="shared" ref="B8:M8" si="2">B6+B7</f>
        <v>32130</v>
      </c>
      <c r="C8" s="191">
        <f t="shared" si="2"/>
        <v>42245</v>
      </c>
      <c r="D8" s="191">
        <f t="shared" si="2"/>
        <v>48195</v>
      </c>
      <c r="E8" s="191">
        <f t="shared" si="2"/>
        <v>61296.9</v>
      </c>
      <c r="F8" s="191">
        <f t="shared" si="2"/>
        <v>53550</v>
      </c>
      <c r="G8" s="191">
        <f t="shared" si="2"/>
        <v>57120</v>
      </c>
      <c r="H8" s="191">
        <f t="shared" si="2"/>
        <v>61880</v>
      </c>
      <c r="I8" s="191">
        <f t="shared" si="2"/>
        <v>65450</v>
      </c>
      <c r="J8" s="191">
        <f t="shared" si="2"/>
        <v>69020</v>
      </c>
      <c r="K8" s="191">
        <f t="shared" si="2"/>
        <v>73780</v>
      </c>
      <c r="L8" s="191">
        <f t="shared" si="2"/>
        <v>76160</v>
      </c>
      <c r="M8" s="192">
        <f t="shared" si="2"/>
        <v>78540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89"/>
      <c r="B9" s="338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31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99" t="s">
        <v>233</v>
      </c>
      <c r="B10" s="338">
        <f>SUM('Aufw.- Ertr-pl., Anl. 4, monatl'!B23:D23)</f>
        <v>0</v>
      </c>
      <c r="C10" s="290">
        <f>SUM('Aufw.- Ertr-pl., Anl. 4, monatl'!E23:F23)</f>
        <v>0</v>
      </c>
      <c r="D10" s="290">
        <f>SUM('Aufw.- Ertr-pl., Anl. 4, monatl'!H23:J23)</f>
        <v>0</v>
      </c>
      <c r="E10" s="290">
        <f>SUM('Aufw.- Ertr-pl., Anl. 4, monatl'!K23:M23)</f>
        <v>0</v>
      </c>
      <c r="F10" s="290">
        <f>'Aufw.- Ertr-pl., Anl. 4, quart'!B23</f>
        <v>0</v>
      </c>
      <c r="G10" s="290">
        <f>'Aufw.- Ertr-pl., Anl. 4, quart'!C23</f>
        <v>0</v>
      </c>
      <c r="H10" s="290">
        <f>'Aufw.- Ertr-pl., Anl. 4, quart'!D23</f>
        <v>0</v>
      </c>
      <c r="I10" s="290">
        <f>'Aufw.- Ertr-pl., Anl. 4, quart'!E23</f>
        <v>0</v>
      </c>
      <c r="J10" s="290">
        <f>'Aufw.- Ertr-pl., Anl. 4, quart'!F23</f>
        <v>0</v>
      </c>
      <c r="K10" s="290">
        <f>'Aufw.- Ertr-pl., Anl. 4, quart'!G23</f>
        <v>0</v>
      </c>
      <c r="L10" s="290">
        <f>'Aufw.- Ertr-pl., Anl. 4, quart'!H23</f>
        <v>0</v>
      </c>
      <c r="M10" s="318">
        <f>'Aufw.- Ertr-pl., Anl. 4, quart'!I23</f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89" t="s">
        <v>230</v>
      </c>
      <c r="B11" s="338">
        <f t="shared" ref="B11:M11" si="3">B10*19%</f>
        <v>0</v>
      </c>
      <c r="C11" s="290">
        <f t="shared" si="3"/>
        <v>0</v>
      </c>
      <c r="D11" s="290">
        <f t="shared" si="3"/>
        <v>0</v>
      </c>
      <c r="E11" s="290">
        <f t="shared" si="3"/>
        <v>0</v>
      </c>
      <c r="F11" s="290">
        <f t="shared" si="3"/>
        <v>0</v>
      </c>
      <c r="G11" s="290">
        <f t="shared" si="3"/>
        <v>0</v>
      </c>
      <c r="H11" s="290">
        <f t="shared" si="3"/>
        <v>0</v>
      </c>
      <c r="I11" s="290">
        <f t="shared" si="3"/>
        <v>0</v>
      </c>
      <c r="J11" s="290">
        <f t="shared" si="3"/>
        <v>0</v>
      </c>
      <c r="K11" s="290">
        <f t="shared" si="3"/>
        <v>0</v>
      </c>
      <c r="L11" s="290">
        <f t="shared" si="3"/>
        <v>0</v>
      </c>
      <c r="M11" s="318">
        <f t="shared" si="3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89" t="s">
        <v>235</v>
      </c>
      <c r="B12" s="190">
        <f t="shared" ref="B12:M12" si="4">B10+B11</f>
        <v>0</v>
      </c>
      <c r="C12" s="191">
        <f t="shared" si="4"/>
        <v>0</v>
      </c>
      <c r="D12" s="191">
        <f t="shared" si="4"/>
        <v>0</v>
      </c>
      <c r="E12" s="191">
        <f t="shared" si="4"/>
        <v>0</v>
      </c>
      <c r="F12" s="191">
        <f t="shared" si="4"/>
        <v>0</v>
      </c>
      <c r="G12" s="191">
        <f t="shared" si="4"/>
        <v>0</v>
      </c>
      <c r="H12" s="191">
        <f t="shared" si="4"/>
        <v>0</v>
      </c>
      <c r="I12" s="191">
        <f t="shared" si="4"/>
        <v>0</v>
      </c>
      <c r="J12" s="191">
        <f t="shared" si="4"/>
        <v>0</v>
      </c>
      <c r="K12" s="191">
        <f t="shared" si="4"/>
        <v>0</v>
      </c>
      <c r="L12" s="191">
        <f t="shared" si="4"/>
        <v>0</v>
      </c>
      <c r="M12" s="192">
        <f t="shared" si="4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363"/>
      <c r="B13" s="338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31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99" t="s">
        <v>236</v>
      </c>
      <c r="B14" s="338"/>
      <c r="C14" s="290">
        <f>'Aufw.- Ertr-pl., Anl. 4, monatl'!C10+'Aufw.- Ertr-pl., Anl. 4, monatl'!C13+'Aufw.- Ertr-pl., Anl. 4, monatl'!C16</f>
        <v>0</v>
      </c>
      <c r="D14" s="290">
        <f>'Aufw.- Ertr-pl., Anl. 4, monatl'!D10+'Aufw.- Ertr-pl., Anl. 4, monatl'!D13+'Aufw.- Ertr-pl., Anl. 4, monatl'!D16</f>
        <v>0</v>
      </c>
      <c r="E14" s="290">
        <f>'Aufw.- Ertr-pl., Anl. 4, monatl'!E10+'Aufw.- Ertr-pl., Anl. 4, monatl'!E13+'Aufw.- Ertr-pl., Anl. 4, monatl'!E16</f>
        <v>0</v>
      </c>
      <c r="F14" s="290">
        <f>'Aufw.- Ertr-pl., Anl. 4, quart'!B10+'Aufw.- Ertr-pl., Anl. 4, quart'!B13+'Aufw.- Ertr-pl., Anl. 4, quart'!B16</f>
        <v>0</v>
      </c>
      <c r="G14" s="290">
        <f>'Aufw.- Ertr-pl., Anl. 4, quart'!C10+'Aufw.- Ertr-pl., Anl. 4, quart'!C13+'Aufw.- Ertr-pl., Anl. 4, quart'!C16</f>
        <v>0</v>
      </c>
      <c r="H14" s="290">
        <f>'Aufw.- Ertr-pl., Anl. 4, quart'!D10+'Aufw.- Ertr-pl., Anl. 4, quart'!D13+'Aufw.- Ertr-pl., Anl. 4, quart'!D16</f>
        <v>0</v>
      </c>
      <c r="I14" s="290">
        <f>'Aufw.- Ertr-pl., Anl. 4, quart'!E10+'Aufw.- Ertr-pl., Anl. 4, quart'!E13+'Aufw.- Ertr-pl., Anl. 4, quart'!E16</f>
        <v>0</v>
      </c>
      <c r="J14" s="290">
        <f>'Aufw.- Ertr-pl., Anl. 4, quart'!F10+'Aufw.- Ertr-pl., Anl. 4, quart'!F13+'Aufw.- Ertr-pl., Anl. 4, quart'!F16</f>
        <v>0</v>
      </c>
      <c r="K14" s="290">
        <f>'Aufw.- Ertr-pl., Anl. 4, quart'!G10+'Aufw.- Ertr-pl., Anl. 4, quart'!G13+'Aufw.- Ertr-pl., Anl. 4, quart'!G16</f>
        <v>0</v>
      </c>
      <c r="L14" s="290">
        <f>'Aufw.- Ertr-pl., Anl. 4, quart'!H10+'Aufw.- Ertr-pl., Anl. 4, quart'!H13+'Aufw.- Ertr-pl., Anl. 4, quart'!H16</f>
        <v>0</v>
      </c>
      <c r="M14" s="318">
        <f>'Aufw.- Ertr-pl., Anl. 4, quart'!I10+'Aufw.- Ertr-pl., Anl. 4, quart'!I13+'Aufw.- Ertr-pl., Anl. 4, quart'!I16</f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89" t="s">
        <v>237</v>
      </c>
      <c r="B15" s="338">
        <f t="shared" ref="B15:M15" si="5">B14*19%</f>
        <v>0</v>
      </c>
      <c r="C15" s="290">
        <f t="shared" si="5"/>
        <v>0</v>
      </c>
      <c r="D15" s="290">
        <f t="shared" si="5"/>
        <v>0</v>
      </c>
      <c r="E15" s="290">
        <f t="shared" si="5"/>
        <v>0</v>
      </c>
      <c r="F15" s="290">
        <f t="shared" si="5"/>
        <v>0</v>
      </c>
      <c r="G15" s="290">
        <f t="shared" si="5"/>
        <v>0</v>
      </c>
      <c r="H15" s="290">
        <f t="shared" si="5"/>
        <v>0</v>
      </c>
      <c r="I15" s="290">
        <f t="shared" si="5"/>
        <v>0</v>
      </c>
      <c r="J15" s="290">
        <f t="shared" si="5"/>
        <v>0</v>
      </c>
      <c r="K15" s="290">
        <f t="shared" si="5"/>
        <v>0</v>
      </c>
      <c r="L15" s="290">
        <f t="shared" si="5"/>
        <v>0</v>
      </c>
      <c r="M15" s="318">
        <f t="shared" si="5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89" t="s">
        <v>238</v>
      </c>
      <c r="B16" s="190">
        <f t="shared" ref="B16:M16" si="6">B14+B15</f>
        <v>0</v>
      </c>
      <c r="C16" s="191">
        <f t="shared" si="6"/>
        <v>0</v>
      </c>
      <c r="D16" s="191">
        <f t="shared" si="6"/>
        <v>0</v>
      </c>
      <c r="E16" s="191">
        <f t="shared" si="6"/>
        <v>0</v>
      </c>
      <c r="F16" s="191">
        <f t="shared" si="6"/>
        <v>0</v>
      </c>
      <c r="G16" s="191">
        <f t="shared" si="6"/>
        <v>0</v>
      </c>
      <c r="H16" s="191">
        <f t="shared" si="6"/>
        <v>0</v>
      </c>
      <c r="I16" s="191">
        <f t="shared" si="6"/>
        <v>0</v>
      </c>
      <c r="J16" s="191">
        <f t="shared" si="6"/>
        <v>0</v>
      </c>
      <c r="K16" s="191">
        <f t="shared" si="6"/>
        <v>0</v>
      </c>
      <c r="L16" s="191">
        <f t="shared" si="6"/>
        <v>0</v>
      </c>
      <c r="M16" s="192">
        <f t="shared" si="6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89"/>
      <c r="B17" s="190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99" t="s">
        <v>239</v>
      </c>
      <c r="B18" s="338"/>
      <c r="C18" s="290">
        <f>'Aufw.- Ertr-pl., Anl. 4, monatl'!C11+'Aufw.- Ertr-pl., Anl. 4, monatl'!C14+'Aufw.- Ertr-pl., Anl. 4, monatl'!C17</f>
        <v>0</v>
      </c>
      <c r="D18" s="290">
        <f>'Aufw.- Ertr-pl., Anl. 4, monatl'!D11+'Aufw.- Ertr-pl., Anl. 4, monatl'!D14+'Aufw.- Ertr-pl., Anl. 4, monatl'!D17</f>
        <v>0</v>
      </c>
      <c r="E18" s="290">
        <f>'Aufw.- Ertr-pl., Anl. 4, monatl'!E11+'Aufw.- Ertr-pl., Anl. 4, monatl'!E14+'Aufw.- Ertr-pl., Anl. 4, monatl'!E17</f>
        <v>0</v>
      </c>
      <c r="F18" s="290">
        <f>'Aufw.- Ertr-pl., Anl. 4, quart'!B11+'Aufw.- Ertr-pl., Anl. 4, quart'!B14+'Aufw.- Ertr-pl., Anl. 4, quart'!B17</f>
        <v>0</v>
      </c>
      <c r="G18" s="290">
        <f>'Aufw.- Ertr-pl., Anl. 4, quart'!C11+'Aufw.- Ertr-pl., Anl. 4, quart'!C14+'Aufw.- Ertr-pl., Anl. 4, quart'!C17</f>
        <v>0</v>
      </c>
      <c r="H18" s="290">
        <f>'Aufw.- Ertr-pl., Anl. 4, quart'!D11+'Aufw.- Ertr-pl., Anl. 4, quart'!D14+'Aufw.- Ertr-pl., Anl. 4, quart'!D17</f>
        <v>0</v>
      </c>
      <c r="I18" s="290">
        <f>'Aufw.- Ertr-pl., Anl. 4, quart'!E11+'Aufw.- Ertr-pl., Anl. 4, quart'!E14+'Aufw.- Ertr-pl., Anl. 4, quart'!E17</f>
        <v>0</v>
      </c>
      <c r="J18" s="290">
        <f>'Aufw.- Ertr-pl., Anl. 4, quart'!F11+'Aufw.- Ertr-pl., Anl. 4, quart'!F14+'Aufw.- Ertr-pl., Anl. 4, quart'!F17</f>
        <v>0</v>
      </c>
      <c r="K18" s="290">
        <f>'Aufw.- Ertr-pl., Anl. 4, quart'!G11+'Aufw.- Ertr-pl., Anl. 4, quart'!G14+'Aufw.- Ertr-pl., Anl. 4, quart'!G17</f>
        <v>0</v>
      </c>
      <c r="L18" s="290">
        <f>'Aufw.- Ertr-pl., Anl. 4, quart'!H11+'Aufw.- Ertr-pl., Anl. 4, quart'!H14+'Aufw.- Ertr-pl., Anl. 4, quart'!H17</f>
        <v>0</v>
      </c>
      <c r="M18" s="318">
        <f>'Aufw.- Ertr-pl., Anl. 4, quart'!I11+'Aufw.- Ertr-pl., Anl. 4, quart'!I14+'Aufw.- Ertr-pl., Anl. 4, quart'!I17</f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89" t="s">
        <v>237</v>
      </c>
      <c r="B19" s="190">
        <f t="shared" ref="B19:M19" si="7">B18*19%</f>
        <v>0</v>
      </c>
      <c r="C19" s="191">
        <f t="shared" si="7"/>
        <v>0</v>
      </c>
      <c r="D19" s="191">
        <f t="shared" si="7"/>
        <v>0</v>
      </c>
      <c r="E19" s="191">
        <f t="shared" si="7"/>
        <v>0</v>
      </c>
      <c r="F19" s="191">
        <f t="shared" si="7"/>
        <v>0</v>
      </c>
      <c r="G19" s="191">
        <f t="shared" si="7"/>
        <v>0</v>
      </c>
      <c r="H19" s="191">
        <f t="shared" si="7"/>
        <v>0</v>
      </c>
      <c r="I19" s="191">
        <f t="shared" si="7"/>
        <v>0</v>
      </c>
      <c r="J19" s="191">
        <f t="shared" si="7"/>
        <v>0</v>
      </c>
      <c r="K19" s="191">
        <f t="shared" si="7"/>
        <v>0</v>
      </c>
      <c r="L19" s="191">
        <f t="shared" si="7"/>
        <v>0</v>
      </c>
      <c r="M19" s="192">
        <f t="shared" si="7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89" t="s">
        <v>240</v>
      </c>
      <c r="B20" s="190">
        <f t="shared" ref="B20:M20" si="8">B18+B19</f>
        <v>0</v>
      </c>
      <c r="C20" s="191">
        <f t="shared" si="8"/>
        <v>0</v>
      </c>
      <c r="D20" s="191">
        <f t="shared" si="8"/>
        <v>0</v>
      </c>
      <c r="E20" s="191">
        <f t="shared" si="8"/>
        <v>0</v>
      </c>
      <c r="F20" s="191">
        <f t="shared" si="8"/>
        <v>0</v>
      </c>
      <c r="G20" s="191">
        <f t="shared" si="8"/>
        <v>0</v>
      </c>
      <c r="H20" s="191">
        <f t="shared" si="8"/>
        <v>0</v>
      </c>
      <c r="I20" s="191">
        <f t="shared" si="8"/>
        <v>0</v>
      </c>
      <c r="J20" s="191">
        <f t="shared" si="8"/>
        <v>0</v>
      </c>
      <c r="K20" s="191">
        <f t="shared" si="8"/>
        <v>0</v>
      </c>
      <c r="L20" s="191">
        <f t="shared" si="8"/>
        <v>0</v>
      </c>
      <c r="M20" s="192">
        <f t="shared" si="8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89"/>
      <c r="B21" s="190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99" t="s">
        <v>241</v>
      </c>
      <c r="B22" s="338"/>
      <c r="C22" s="290">
        <f>SUM('betr. Aufw, Anl.2, monatl.'!E28:G28)</f>
        <v>4230</v>
      </c>
      <c r="D22" s="290">
        <f>SUM('betr. Aufw, Anl.2, monatl.'!H28:I28)</f>
        <v>2820</v>
      </c>
      <c r="E22" s="290">
        <f>SUM('betr. Aufw, Anl.2, monatl.'!K28:M28)</f>
        <v>4230</v>
      </c>
      <c r="F22" s="290">
        <f>'betr. Aufw, Anl.2,quart'!B25</f>
        <v>4230</v>
      </c>
      <c r="G22" s="290">
        <f>'betr. Aufw, Anl.2,quart'!C25</f>
        <v>4230</v>
      </c>
      <c r="H22" s="290">
        <f>'betr. Aufw, Anl.2,quart'!D25</f>
        <v>4230</v>
      </c>
      <c r="I22" s="290">
        <f>'betr. Aufw, Anl.2,quart'!E25</f>
        <v>4230</v>
      </c>
      <c r="J22" s="290">
        <f>'betr. Aufw, Anl.2,quart'!F25</f>
        <v>4230</v>
      </c>
      <c r="K22" s="290">
        <f>'betr. Aufw, Anl.2,quart'!G25</f>
        <v>4230</v>
      </c>
      <c r="L22" s="290">
        <f>'betr. Aufw, Anl.2,quart'!H25</f>
        <v>4230</v>
      </c>
      <c r="M22" s="318">
        <f>'betr. Aufw, Anl.2,quart'!I25</f>
        <v>4230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89" t="s">
        <v>237</v>
      </c>
      <c r="B23" s="338">
        <f t="shared" ref="B23:M23" si="9">B22*19%</f>
        <v>0</v>
      </c>
      <c r="C23" s="290">
        <f t="shared" si="9"/>
        <v>803.7</v>
      </c>
      <c r="D23" s="290">
        <f t="shared" si="9"/>
        <v>535.8</v>
      </c>
      <c r="E23" s="290">
        <f t="shared" si="9"/>
        <v>803.7</v>
      </c>
      <c r="F23" s="290">
        <f t="shared" si="9"/>
        <v>803.7</v>
      </c>
      <c r="G23" s="290">
        <f t="shared" si="9"/>
        <v>803.7</v>
      </c>
      <c r="H23" s="290">
        <f t="shared" si="9"/>
        <v>803.7</v>
      </c>
      <c r="I23" s="290">
        <f t="shared" si="9"/>
        <v>803.7</v>
      </c>
      <c r="J23" s="290">
        <f t="shared" si="9"/>
        <v>803.7</v>
      </c>
      <c r="K23" s="290">
        <f t="shared" si="9"/>
        <v>803.7</v>
      </c>
      <c r="L23" s="290">
        <f t="shared" si="9"/>
        <v>803.7</v>
      </c>
      <c r="M23" s="318">
        <f t="shared" si="9"/>
        <v>803.7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89" t="s">
        <v>242</v>
      </c>
      <c r="B24" s="190">
        <f t="shared" ref="B24:M24" si="10">B22+B23</f>
        <v>0</v>
      </c>
      <c r="C24" s="191">
        <f t="shared" si="10"/>
        <v>5033.7</v>
      </c>
      <c r="D24" s="191">
        <f t="shared" si="10"/>
        <v>3355.8</v>
      </c>
      <c r="E24" s="191">
        <f t="shared" si="10"/>
        <v>5033.7</v>
      </c>
      <c r="F24" s="191">
        <f t="shared" si="10"/>
        <v>5033.7</v>
      </c>
      <c r="G24" s="191">
        <f t="shared" si="10"/>
        <v>5033.7</v>
      </c>
      <c r="H24" s="191">
        <f t="shared" si="10"/>
        <v>5033.7</v>
      </c>
      <c r="I24" s="191">
        <f t="shared" si="10"/>
        <v>5033.7</v>
      </c>
      <c r="J24" s="191">
        <f t="shared" si="10"/>
        <v>5033.7</v>
      </c>
      <c r="K24" s="191">
        <f t="shared" si="10"/>
        <v>5033.7</v>
      </c>
      <c r="L24" s="191">
        <f t="shared" si="10"/>
        <v>5033.7</v>
      </c>
      <c r="M24" s="192">
        <f t="shared" si="10"/>
        <v>5033.7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89"/>
      <c r="B25" s="338"/>
      <c r="C25" s="290"/>
      <c r="D25" s="290"/>
      <c r="E25" s="290"/>
      <c r="F25" s="290"/>
      <c r="G25" s="290"/>
      <c r="H25" s="290"/>
      <c r="I25" s="290"/>
      <c r="J25" s="290"/>
      <c r="K25" s="290"/>
      <c r="L25" s="290"/>
      <c r="M25" s="31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99" t="s">
        <v>243</v>
      </c>
      <c r="B26" s="338"/>
      <c r="C26" s="290" t="str">
        <f>'Liquiditätsplanung, Anl. 7'!C12</f>
        <v/>
      </c>
      <c r="D26" s="290" t="str">
        <f>'Liquiditätsplanung, Anl. 7'!D12</f>
        <v/>
      </c>
      <c r="E26" s="290" t="str">
        <f>'Liquiditätsplanung, Anl. 7'!E12</f>
        <v/>
      </c>
      <c r="F26" s="290" t="str">
        <f>'Liquiditätsplanung, Anl. 7'!F12</f>
        <v/>
      </c>
      <c r="G26" s="290" t="str">
        <f>'Liquiditätsplanung, Anl. 7'!G12</f>
        <v/>
      </c>
      <c r="H26" s="290" t="str">
        <f>'Liquiditätsplanung, Anl. 7'!H12</f>
        <v/>
      </c>
      <c r="I26" s="290" t="str">
        <f>'Liquiditätsplanung, Anl. 7'!I12</f>
        <v/>
      </c>
      <c r="J26" s="290" t="str">
        <f>'Liquiditätsplanung, Anl. 7'!J12</f>
        <v/>
      </c>
      <c r="K26" s="290" t="str">
        <f>'Liquiditätsplanung, Anl. 7'!K12</f>
        <v/>
      </c>
      <c r="L26" s="290" t="str">
        <f>'Liquiditätsplanung, Anl. 7'!L12</f>
        <v/>
      </c>
      <c r="M26" s="318" t="str">
        <f>'Liquiditätsplanung, Anl. 7'!M12</f>
        <v/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89" t="s">
        <v>237</v>
      </c>
      <c r="B27" s="338">
        <f t="shared" ref="B27:M27" si="11">B26*19%</f>
        <v>0</v>
      </c>
      <c r="C27" s="290">
        <f t="shared" si="11"/>
        <v>0</v>
      </c>
      <c r="D27" s="290">
        <f t="shared" si="11"/>
        <v>0</v>
      </c>
      <c r="E27" s="290">
        <f t="shared" si="11"/>
        <v>0</v>
      </c>
      <c r="F27" s="290">
        <f t="shared" si="11"/>
        <v>0</v>
      </c>
      <c r="G27" s="290">
        <f t="shared" si="11"/>
        <v>0</v>
      </c>
      <c r="H27" s="290">
        <f t="shared" si="11"/>
        <v>0</v>
      </c>
      <c r="I27" s="290">
        <f t="shared" si="11"/>
        <v>0</v>
      </c>
      <c r="J27" s="290">
        <f t="shared" si="11"/>
        <v>0</v>
      </c>
      <c r="K27" s="290">
        <f t="shared" si="11"/>
        <v>0</v>
      </c>
      <c r="L27" s="290">
        <f t="shared" si="11"/>
        <v>0</v>
      </c>
      <c r="M27" s="318">
        <f t="shared" si="1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189" t="s">
        <v>244</v>
      </c>
      <c r="B28" s="190">
        <f t="shared" ref="B28:M28" si="12">B26+B27</f>
        <v>0</v>
      </c>
      <c r="C28" s="191">
        <f t="shared" si="12"/>
        <v>0</v>
      </c>
      <c r="D28" s="191">
        <f t="shared" si="12"/>
        <v>0</v>
      </c>
      <c r="E28" s="191">
        <f t="shared" si="12"/>
        <v>0</v>
      </c>
      <c r="F28" s="191">
        <f t="shared" si="12"/>
        <v>0</v>
      </c>
      <c r="G28" s="191">
        <f t="shared" si="12"/>
        <v>0</v>
      </c>
      <c r="H28" s="191">
        <f t="shared" si="12"/>
        <v>0</v>
      </c>
      <c r="I28" s="191">
        <f t="shared" si="12"/>
        <v>0</v>
      </c>
      <c r="J28" s="191">
        <f t="shared" si="12"/>
        <v>0</v>
      </c>
      <c r="K28" s="191">
        <f t="shared" si="12"/>
        <v>0</v>
      </c>
      <c r="L28" s="191">
        <f t="shared" si="12"/>
        <v>0</v>
      </c>
      <c r="M28" s="192">
        <f t="shared" si="12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189"/>
      <c r="B29" s="190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99" t="s">
        <v>245</v>
      </c>
      <c r="B30" s="190">
        <f>B7+B11</f>
        <v>5130</v>
      </c>
      <c r="C30" s="191">
        <f t="shared" ref="C30:M30" si="13">SUM(C7,C11)</f>
        <v>6745</v>
      </c>
      <c r="D30" s="191">
        <f t="shared" si="13"/>
        <v>7695</v>
      </c>
      <c r="E30" s="191">
        <f t="shared" si="13"/>
        <v>9786.9</v>
      </c>
      <c r="F30" s="191">
        <f t="shared" si="13"/>
        <v>8550</v>
      </c>
      <c r="G30" s="191">
        <f t="shared" si="13"/>
        <v>9120</v>
      </c>
      <c r="H30" s="191">
        <f t="shared" si="13"/>
        <v>9880</v>
      </c>
      <c r="I30" s="191">
        <f t="shared" si="13"/>
        <v>10450</v>
      </c>
      <c r="J30" s="191">
        <f t="shared" si="13"/>
        <v>11020</v>
      </c>
      <c r="K30" s="191">
        <f t="shared" si="13"/>
        <v>11780</v>
      </c>
      <c r="L30" s="191">
        <f t="shared" si="13"/>
        <v>12160</v>
      </c>
      <c r="M30" s="192">
        <f t="shared" si="13"/>
        <v>12540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204" t="s">
        <v>246</v>
      </c>
      <c r="B31" s="364">
        <f>B15+B19+B23+B27</f>
        <v>0</v>
      </c>
      <c r="C31" s="365">
        <f t="shared" ref="C31:M31" si="14">SUM(C15,C19,C23,C27)</f>
        <v>803.7</v>
      </c>
      <c r="D31" s="365">
        <f t="shared" si="14"/>
        <v>535.8</v>
      </c>
      <c r="E31" s="365">
        <f t="shared" si="14"/>
        <v>803.7</v>
      </c>
      <c r="F31" s="365">
        <f t="shared" si="14"/>
        <v>803.7</v>
      </c>
      <c r="G31" s="365">
        <f t="shared" si="14"/>
        <v>803.7</v>
      </c>
      <c r="H31" s="365">
        <f t="shared" si="14"/>
        <v>803.7</v>
      </c>
      <c r="I31" s="365">
        <f t="shared" si="14"/>
        <v>803.7</v>
      </c>
      <c r="J31" s="365">
        <f t="shared" si="14"/>
        <v>803.7</v>
      </c>
      <c r="K31" s="365">
        <f t="shared" si="14"/>
        <v>803.7</v>
      </c>
      <c r="L31" s="365">
        <f t="shared" si="14"/>
        <v>803.7</v>
      </c>
      <c r="M31" s="366">
        <f t="shared" si="14"/>
        <v>803.7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67" t="s">
        <v>247</v>
      </c>
      <c r="B32" s="368">
        <f t="shared" ref="B32:M32" si="15">B30-B31</f>
        <v>5130</v>
      </c>
      <c r="C32" s="368">
        <f t="shared" si="15"/>
        <v>5941.3</v>
      </c>
      <c r="D32" s="368">
        <f t="shared" si="15"/>
        <v>7159.2</v>
      </c>
      <c r="E32" s="368">
        <f t="shared" si="15"/>
        <v>8983.2</v>
      </c>
      <c r="F32" s="368">
        <f t="shared" si="15"/>
        <v>7746.3</v>
      </c>
      <c r="G32" s="368">
        <f t="shared" si="15"/>
        <v>8316.3</v>
      </c>
      <c r="H32" s="368">
        <f t="shared" si="15"/>
        <v>9076.3</v>
      </c>
      <c r="I32" s="368">
        <f t="shared" si="15"/>
        <v>9646.3</v>
      </c>
      <c r="J32" s="368">
        <f t="shared" si="15"/>
        <v>10216.3</v>
      </c>
      <c r="K32" s="368">
        <f t="shared" si="15"/>
        <v>10976.3</v>
      </c>
      <c r="L32" s="368">
        <f t="shared" si="15"/>
        <v>11356.3</v>
      </c>
      <c r="M32" s="368">
        <f t="shared" si="15"/>
        <v>11736.3</v>
      </c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</row>
    <row r="33" ht="13.5" customHeight="1">
      <c r="A33" s="210"/>
      <c r="B33" s="210"/>
      <c r="C33" s="210"/>
      <c r="D33" s="210"/>
      <c r="E33" s="210"/>
      <c r="F33" s="210"/>
      <c r="G33" s="210"/>
      <c r="H33" s="210"/>
      <c r="I33" s="21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210"/>
      <c r="B34" s="210"/>
      <c r="C34" s="210"/>
      <c r="D34" s="210"/>
      <c r="E34" s="210"/>
      <c r="F34" s="210"/>
      <c r="G34" s="210"/>
      <c r="H34" s="210"/>
      <c r="I34" s="210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210"/>
      <c r="B35" s="210"/>
      <c r="C35" s="210"/>
      <c r="D35" s="210"/>
      <c r="E35" s="210"/>
      <c r="F35" s="210"/>
      <c r="G35" s="210"/>
      <c r="H35" s="210"/>
      <c r="I35" s="21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210"/>
      <c r="B36" s="210"/>
      <c r="C36" s="210"/>
      <c r="D36" s="210"/>
      <c r="E36" s="210"/>
      <c r="F36" s="210"/>
      <c r="G36" s="210"/>
      <c r="H36" s="210"/>
      <c r="I36" s="210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B4:E4"/>
    <mergeCell ref="F4:I4"/>
    <mergeCell ref="J4:M4"/>
  </mergeCells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2000-10-20T12:34:30Z</dcterms:created>
  <dc:creator>dietmar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